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reiemura/Library/Mobile Documents/com~apple~CloudDocs/memory-limitation/OSF/"/>
    </mc:Choice>
  </mc:AlternateContent>
  <xr:revisionPtr revIDLastSave="0" documentId="13_ncr:1_{BF404F76-43CB-694A-B534-2D9073D059B6}" xr6:coauthVersionLast="47" xr6:coauthVersionMax="47" xr10:uidLastSave="{00000000-0000-0000-0000-000000000000}"/>
  <bookViews>
    <workbookView xWindow="300" yWindow="1120" windowWidth="25400" windowHeight="16420" tabRatio="737" firstSheet="11" activeTab="23" xr2:uid="{738F6CF0-EC0F-7948-AE27-1BF4DD7D6332}"/>
  </bookViews>
  <sheets>
    <sheet name="Base" sheetId="1" r:id="rId1"/>
    <sheet name="Plausible-N12" sheetId="4" r:id="rId2"/>
    <sheet name="Plausible-N21" sheetId="5" r:id="rId3"/>
    <sheet name="Implausible-N12" sheetId="2" r:id="rId4"/>
    <sheet name="Implausible-N21" sheetId="3" r:id="rId5"/>
    <sheet name="Filler" sheetId="6" r:id="rId6"/>
    <sheet name="Lists" sheetId="8" r:id="rId7"/>
    <sheet name="Practice" sheetId="14" r:id="rId8"/>
    <sheet name="L4S4" sheetId="26" r:id="rId9"/>
    <sheet name="L4S3" sheetId="25" r:id="rId10"/>
    <sheet name="L4S2" sheetId="23" r:id="rId11"/>
    <sheet name="L4S1" sheetId="24" r:id="rId12"/>
    <sheet name="L3S4" sheetId="22" r:id="rId13"/>
    <sheet name="L3S3" sheetId="21" r:id="rId14"/>
    <sheet name="L3S2" sheetId="20" r:id="rId15"/>
    <sheet name="L3S1" sheetId="19" r:id="rId16"/>
    <sheet name="L2S4" sheetId="18" r:id="rId17"/>
    <sheet name="L2S3" sheetId="17" r:id="rId18"/>
    <sheet name="L2S2" sheetId="16" r:id="rId19"/>
    <sheet name="L2S1" sheetId="15" r:id="rId20"/>
    <sheet name="L1S4" sheetId="13" r:id="rId21"/>
    <sheet name="L1S3" sheetId="12" r:id="rId22"/>
    <sheet name="L1S2" sheetId="11" r:id="rId23"/>
    <sheet name="L1S1" sheetId="10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" i="26" l="1"/>
  <c r="R24" i="26"/>
  <c r="R23" i="26"/>
  <c r="R22" i="26"/>
  <c r="R21" i="26"/>
  <c r="R20" i="26"/>
  <c r="R19" i="26"/>
  <c r="R18" i="26"/>
  <c r="R17" i="26"/>
  <c r="R16" i="26"/>
  <c r="R15" i="26"/>
  <c r="R14" i="26"/>
  <c r="R13" i="26"/>
  <c r="R12" i="26"/>
  <c r="R11" i="26"/>
  <c r="R10" i="26"/>
  <c r="R9" i="26"/>
  <c r="R8" i="26"/>
  <c r="R7" i="26"/>
  <c r="R6" i="26"/>
  <c r="R5" i="26"/>
  <c r="R4" i="26"/>
  <c r="R3" i="26"/>
  <c r="R2" i="26"/>
  <c r="R25" i="25"/>
  <c r="R24" i="25"/>
  <c r="R23" i="25"/>
  <c r="R22" i="25"/>
  <c r="R21" i="25"/>
  <c r="R20" i="25"/>
  <c r="R19" i="25"/>
  <c r="R18" i="25"/>
  <c r="R17" i="25"/>
  <c r="R16" i="25"/>
  <c r="R15" i="25"/>
  <c r="R14" i="25"/>
  <c r="R13" i="25"/>
  <c r="R12" i="25"/>
  <c r="R11" i="25"/>
  <c r="R10" i="25"/>
  <c r="R9" i="25"/>
  <c r="R8" i="25"/>
  <c r="R7" i="25"/>
  <c r="R6" i="25"/>
  <c r="R5" i="25"/>
  <c r="R4" i="25"/>
  <c r="R3" i="25"/>
  <c r="R2" i="25"/>
  <c r="R25" i="23"/>
  <c r="R24" i="23"/>
  <c r="R23" i="23"/>
  <c r="R22" i="23"/>
  <c r="R21" i="23"/>
  <c r="R20" i="23"/>
  <c r="R19" i="23"/>
  <c r="R18" i="23"/>
  <c r="R17" i="23"/>
  <c r="R16" i="23"/>
  <c r="R15" i="23"/>
  <c r="R14" i="23"/>
  <c r="R13" i="23"/>
  <c r="R12" i="23"/>
  <c r="R11" i="23"/>
  <c r="R10" i="23"/>
  <c r="R9" i="23"/>
  <c r="R8" i="23"/>
  <c r="R7" i="23"/>
  <c r="R6" i="23"/>
  <c r="R5" i="23"/>
  <c r="R4" i="23"/>
  <c r="R3" i="23"/>
  <c r="R2" i="23"/>
  <c r="R25" i="24"/>
  <c r="R24" i="24"/>
  <c r="R23" i="24"/>
  <c r="R22" i="24"/>
  <c r="R21" i="24"/>
  <c r="R20" i="24"/>
  <c r="R19" i="24"/>
  <c r="R18" i="24"/>
  <c r="R17" i="24"/>
  <c r="R16" i="24"/>
  <c r="R15" i="24"/>
  <c r="R14" i="24"/>
  <c r="R13" i="24"/>
  <c r="R12" i="24"/>
  <c r="R11" i="24"/>
  <c r="R10" i="24"/>
  <c r="R9" i="24"/>
  <c r="R8" i="24"/>
  <c r="R7" i="24"/>
  <c r="R6" i="24"/>
  <c r="R5" i="24"/>
  <c r="R4" i="24"/>
  <c r="R3" i="24"/>
  <c r="R2" i="24"/>
  <c r="H16" i="5"/>
  <c r="R25" i="22"/>
  <c r="R24" i="22"/>
  <c r="R23" i="22"/>
  <c r="R22" i="22"/>
  <c r="R21" i="22"/>
  <c r="R20" i="22"/>
  <c r="R19" i="22"/>
  <c r="R18" i="22"/>
  <c r="R17" i="22"/>
  <c r="R16" i="22"/>
  <c r="R15" i="22"/>
  <c r="R14" i="22"/>
  <c r="R13" i="22"/>
  <c r="R12" i="22"/>
  <c r="R11" i="22"/>
  <c r="R10" i="22"/>
  <c r="R9" i="22"/>
  <c r="R8" i="22"/>
  <c r="R7" i="22"/>
  <c r="R6" i="22"/>
  <c r="R5" i="22"/>
  <c r="R4" i="22"/>
  <c r="R3" i="22"/>
  <c r="R2" i="22"/>
  <c r="P3" i="22"/>
  <c r="Q3" i="22"/>
  <c r="P4" i="22"/>
  <c r="Q4" i="22"/>
  <c r="P5" i="22"/>
  <c r="Q5" i="22"/>
  <c r="P6" i="22"/>
  <c r="Q6" i="22"/>
  <c r="P7" i="22"/>
  <c r="Q7" i="22"/>
  <c r="P8" i="22"/>
  <c r="Q8" i="22"/>
  <c r="P9" i="22"/>
  <c r="Q9" i="22"/>
  <c r="P10" i="22"/>
  <c r="Q10" i="22"/>
  <c r="P11" i="22"/>
  <c r="Q11" i="22"/>
  <c r="P12" i="22"/>
  <c r="Q12" i="22"/>
  <c r="P13" i="22"/>
  <c r="Q13" i="22"/>
  <c r="P2" i="22"/>
  <c r="Q2" i="22"/>
  <c r="R25" i="21"/>
  <c r="R24" i="21"/>
  <c r="R23" i="21"/>
  <c r="R22" i="21"/>
  <c r="R21" i="21"/>
  <c r="R20" i="21"/>
  <c r="R19" i="21"/>
  <c r="R18" i="21"/>
  <c r="R17" i="21"/>
  <c r="R16" i="21"/>
  <c r="R15" i="21"/>
  <c r="R14" i="21"/>
  <c r="R13" i="21"/>
  <c r="R12" i="21"/>
  <c r="R11" i="21"/>
  <c r="R10" i="21"/>
  <c r="R9" i="21"/>
  <c r="R8" i="21"/>
  <c r="R7" i="21"/>
  <c r="R6" i="21"/>
  <c r="R5" i="21"/>
  <c r="R4" i="21"/>
  <c r="R3" i="21"/>
  <c r="R2" i="21"/>
  <c r="R25" i="20"/>
  <c r="R24" i="20"/>
  <c r="R23" i="20"/>
  <c r="R22" i="20"/>
  <c r="R21" i="20"/>
  <c r="R20" i="20"/>
  <c r="R19" i="20"/>
  <c r="R18" i="20"/>
  <c r="R17" i="20"/>
  <c r="R16" i="20"/>
  <c r="R15" i="20"/>
  <c r="R14" i="20"/>
  <c r="R13" i="20"/>
  <c r="R12" i="20"/>
  <c r="R11" i="20"/>
  <c r="R10" i="20"/>
  <c r="R9" i="20"/>
  <c r="R8" i="20"/>
  <c r="R7" i="20"/>
  <c r="R6" i="20"/>
  <c r="R5" i="20"/>
  <c r="R4" i="20"/>
  <c r="R3" i="20"/>
  <c r="R2" i="20"/>
  <c r="R25" i="19"/>
  <c r="R24" i="19"/>
  <c r="R23" i="19"/>
  <c r="R22" i="19"/>
  <c r="R21" i="19"/>
  <c r="R20" i="19"/>
  <c r="R19" i="19"/>
  <c r="R18" i="19"/>
  <c r="R17" i="19"/>
  <c r="R16" i="19"/>
  <c r="R15" i="19"/>
  <c r="R14" i="19"/>
  <c r="R13" i="19"/>
  <c r="R12" i="19"/>
  <c r="R11" i="19"/>
  <c r="R10" i="19"/>
  <c r="R9" i="19"/>
  <c r="R8" i="19"/>
  <c r="R7" i="19"/>
  <c r="R6" i="19"/>
  <c r="R5" i="19"/>
  <c r="R4" i="19"/>
  <c r="R3" i="19"/>
  <c r="R2" i="19"/>
  <c r="R25" i="18"/>
  <c r="R24" i="18"/>
  <c r="R23" i="18"/>
  <c r="R22" i="18"/>
  <c r="R21" i="18"/>
  <c r="R20" i="18"/>
  <c r="R19" i="18"/>
  <c r="R18" i="18"/>
  <c r="R17" i="18"/>
  <c r="R16" i="18"/>
  <c r="R15" i="18"/>
  <c r="R14" i="18"/>
  <c r="R13" i="18"/>
  <c r="R12" i="18"/>
  <c r="R11" i="18"/>
  <c r="R10" i="18"/>
  <c r="R9" i="18"/>
  <c r="R8" i="18"/>
  <c r="R7" i="18"/>
  <c r="R6" i="18"/>
  <c r="R5" i="18"/>
  <c r="R4" i="18"/>
  <c r="R3" i="18"/>
  <c r="R2" i="18"/>
  <c r="R25" i="17"/>
  <c r="R24" i="17"/>
  <c r="R23" i="17"/>
  <c r="R22" i="17"/>
  <c r="R21" i="17"/>
  <c r="R20" i="17"/>
  <c r="R19" i="17"/>
  <c r="R18" i="17"/>
  <c r="R17" i="17"/>
  <c r="R16" i="17"/>
  <c r="R15" i="17"/>
  <c r="R14" i="17"/>
  <c r="R13" i="17"/>
  <c r="R12" i="17"/>
  <c r="R11" i="17"/>
  <c r="R10" i="17"/>
  <c r="R9" i="17"/>
  <c r="R8" i="17"/>
  <c r="R7" i="17"/>
  <c r="R6" i="17"/>
  <c r="R5" i="17"/>
  <c r="R4" i="17"/>
  <c r="R3" i="17"/>
  <c r="R2" i="17"/>
  <c r="R25" i="16"/>
  <c r="R24" i="16"/>
  <c r="R23" i="16"/>
  <c r="R22" i="16"/>
  <c r="R21" i="16"/>
  <c r="R20" i="16"/>
  <c r="R19" i="16"/>
  <c r="R18" i="16"/>
  <c r="R17" i="16"/>
  <c r="R16" i="16"/>
  <c r="R15" i="16"/>
  <c r="R14" i="16"/>
  <c r="R13" i="16"/>
  <c r="R12" i="16"/>
  <c r="R11" i="16"/>
  <c r="R10" i="16"/>
  <c r="R9" i="16"/>
  <c r="R8" i="16"/>
  <c r="R7" i="16"/>
  <c r="R6" i="16"/>
  <c r="R5" i="16"/>
  <c r="R4" i="16"/>
  <c r="R3" i="16"/>
  <c r="R2" i="16"/>
  <c r="R25" i="15"/>
  <c r="R24" i="15"/>
  <c r="R23" i="15"/>
  <c r="R22" i="15"/>
  <c r="R21" i="15"/>
  <c r="R20" i="15"/>
  <c r="R19" i="15"/>
  <c r="R18" i="15"/>
  <c r="R17" i="15"/>
  <c r="R16" i="15"/>
  <c r="R15" i="15"/>
  <c r="R14" i="15"/>
  <c r="R13" i="15"/>
  <c r="R12" i="15"/>
  <c r="R11" i="15"/>
  <c r="R10" i="15"/>
  <c r="R9" i="15"/>
  <c r="R8" i="15"/>
  <c r="R7" i="15"/>
  <c r="R6" i="15"/>
  <c r="R5" i="15"/>
  <c r="R4" i="15"/>
  <c r="R3" i="15"/>
  <c r="R2" i="15"/>
  <c r="H14" i="2"/>
  <c r="H5" i="4"/>
  <c r="Q3" i="14"/>
  <c r="Q4" i="14"/>
  <c r="Q5" i="14"/>
  <c r="Q6" i="14"/>
  <c r="Q7" i="14"/>
  <c r="Q2" i="14"/>
  <c r="P3" i="14"/>
  <c r="P4" i="14"/>
  <c r="P5" i="14"/>
  <c r="P6" i="14"/>
  <c r="P7" i="14"/>
  <c r="P2" i="14"/>
  <c r="E3" i="14"/>
  <c r="E4" i="14"/>
  <c r="E5" i="14"/>
  <c r="E6" i="14"/>
  <c r="E7" i="14"/>
  <c r="E2" i="14"/>
  <c r="R7" i="14"/>
  <c r="R6" i="14"/>
  <c r="R5" i="14"/>
  <c r="R4" i="14"/>
  <c r="R3" i="14"/>
  <c r="R2" i="14"/>
  <c r="R25" i="11"/>
  <c r="R24" i="11"/>
  <c r="R23" i="11"/>
  <c r="R22" i="11"/>
  <c r="R21" i="11"/>
  <c r="R20" i="11"/>
  <c r="R2" i="11"/>
  <c r="E2" i="6"/>
  <c r="E46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7" i="6"/>
  <c r="E48" i="6"/>
  <c r="E49" i="6"/>
  <c r="H2" i="8"/>
  <c r="R25" i="13"/>
  <c r="R24" i="13"/>
  <c r="R23" i="13"/>
  <c r="R22" i="13"/>
  <c r="R21" i="13"/>
  <c r="R20" i="13"/>
  <c r="R19" i="13"/>
  <c r="R18" i="13"/>
  <c r="R17" i="13"/>
  <c r="R16" i="13"/>
  <c r="R15" i="13"/>
  <c r="R14" i="13"/>
  <c r="R13" i="13"/>
  <c r="R12" i="13"/>
  <c r="R11" i="13"/>
  <c r="R10" i="13"/>
  <c r="R9" i="13"/>
  <c r="R8" i="13"/>
  <c r="R7" i="13"/>
  <c r="R6" i="13"/>
  <c r="R5" i="13"/>
  <c r="R4" i="13"/>
  <c r="R3" i="13"/>
  <c r="R2" i="13"/>
  <c r="R25" i="12"/>
  <c r="R24" i="12"/>
  <c r="R23" i="12"/>
  <c r="R22" i="12"/>
  <c r="R21" i="12"/>
  <c r="R20" i="12"/>
  <c r="R19" i="12"/>
  <c r="R18" i="12"/>
  <c r="R17" i="12"/>
  <c r="R16" i="12"/>
  <c r="R15" i="12"/>
  <c r="R14" i="12"/>
  <c r="R13" i="12"/>
  <c r="R12" i="12"/>
  <c r="R11" i="12"/>
  <c r="R10" i="12"/>
  <c r="R9" i="12"/>
  <c r="R8" i="12"/>
  <c r="R7" i="12"/>
  <c r="R6" i="12"/>
  <c r="R5" i="12"/>
  <c r="R4" i="12"/>
  <c r="R3" i="12"/>
  <c r="R2" i="12"/>
  <c r="R19" i="11"/>
  <c r="R18" i="11"/>
  <c r="R17" i="11"/>
  <c r="R16" i="11"/>
  <c r="R15" i="11"/>
  <c r="R14" i="11"/>
  <c r="R13" i="11"/>
  <c r="R12" i="11"/>
  <c r="R11" i="11"/>
  <c r="R10" i="11"/>
  <c r="R9" i="11"/>
  <c r="R8" i="11"/>
  <c r="R7" i="11"/>
  <c r="R6" i="11"/>
  <c r="R5" i="11"/>
  <c r="R4" i="11"/>
  <c r="R3" i="11"/>
  <c r="I15" i="5"/>
  <c r="Q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" i="2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" i="5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" i="4"/>
  <c r="R3" i="10"/>
  <c r="R4" i="10"/>
  <c r="R5" i="10"/>
  <c r="R6" i="10"/>
  <c r="R7" i="10"/>
  <c r="R8" i="10"/>
  <c r="R9" i="10"/>
  <c r="R10" i="10"/>
  <c r="R11" i="10"/>
  <c r="R12" i="10"/>
  <c r="R13" i="10"/>
  <c r="R14" i="10"/>
  <c r="R15" i="10"/>
  <c r="R16" i="10"/>
  <c r="R17" i="10"/>
  <c r="R18" i="10"/>
  <c r="R19" i="10"/>
  <c r="R20" i="10"/>
  <c r="R21" i="10"/>
  <c r="R22" i="10"/>
  <c r="R23" i="10"/>
  <c r="R24" i="10"/>
  <c r="R25" i="10"/>
  <c r="R2" i="10"/>
  <c r="S3" i="6"/>
  <c r="S4" i="6"/>
  <c r="S14" i="6"/>
  <c r="S15" i="6"/>
  <c r="S16" i="6"/>
  <c r="S26" i="6"/>
  <c r="S27" i="6"/>
  <c r="S28" i="6"/>
  <c r="S38" i="6"/>
  <c r="S39" i="6"/>
  <c r="S40" i="6"/>
  <c r="S17" i="6"/>
  <c r="S18" i="6"/>
  <c r="S19" i="6"/>
  <c r="S5" i="6"/>
  <c r="S6" i="6"/>
  <c r="S7" i="6"/>
  <c r="S41" i="6"/>
  <c r="S42" i="6"/>
  <c r="S43" i="6"/>
  <c r="S29" i="6"/>
  <c r="S30" i="6"/>
  <c r="S31" i="6"/>
  <c r="S8" i="6"/>
  <c r="S9" i="6"/>
  <c r="S10" i="6"/>
  <c r="S20" i="6"/>
  <c r="S21" i="6"/>
  <c r="S22" i="6"/>
  <c r="S32" i="6"/>
  <c r="S33" i="6"/>
  <c r="S34" i="6"/>
  <c r="S44" i="6"/>
  <c r="S45" i="6"/>
  <c r="S46" i="6"/>
  <c r="S23" i="6"/>
  <c r="S24" i="6"/>
  <c r="S25" i="6"/>
  <c r="S11" i="6"/>
  <c r="S12" i="6"/>
  <c r="S13" i="6"/>
  <c r="S47" i="6"/>
  <c r="S48" i="6"/>
  <c r="S49" i="6"/>
  <c r="S35" i="6"/>
  <c r="S36" i="6"/>
  <c r="S37" i="6"/>
  <c r="S2" i="6"/>
  <c r="R3" i="6"/>
  <c r="R4" i="6"/>
  <c r="R14" i="6"/>
  <c r="R15" i="6"/>
  <c r="R16" i="6"/>
  <c r="R26" i="6"/>
  <c r="R27" i="6"/>
  <c r="R28" i="6"/>
  <c r="R38" i="6"/>
  <c r="R39" i="6"/>
  <c r="R40" i="6"/>
  <c r="R17" i="6"/>
  <c r="R18" i="6"/>
  <c r="R19" i="6"/>
  <c r="R5" i="6"/>
  <c r="R6" i="6"/>
  <c r="R7" i="6"/>
  <c r="R41" i="6"/>
  <c r="R42" i="6"/>
  <c r="R43" i="6"/>
  <c r="R29" i="6"/>
  <c r="R30" i="6"/>
  <c r="R31" i="6"/>
  <c r="R8" i="6"/>
  <c r="R9" i="6"/>
  <c r="R10" i="6"/>
  <c r="R20" i="6"/>
  <c r="R21" i="6"/>
  <c r="R22" i="6"/>
  <c r="R32" i="6"/>
  <c r="R33" i="6"/>
  <c r="R34" i="6"/>
  <c r="R44" i="6"/>
  <c r="R45" i="6"/>
  <c r="R46" i="6"/>
  <c r="R23" i="6"/>
  <c r="R24" i="6"/>
  <c r="R25" i="6"/>
  <c r="R11" i="6"/>
  <c r="R12" i="6"/>
  <c r="R13" i="6"/>
  <c r="R47" i="6"/>
  <c r="R48" i="6"/>
  <c r="R49" i="6"/>
  <c r="R35" i="6"/>
  <c r="R36" i="6"/>
  <c r="R37" i="6"/>
  <c r="R2" i="6"/>
  <c r="P2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" i="2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P5" i="5"/>
  <c r="P4" i="5"/>
  <c r="P3" i="5"/>
  <c r="P2" i="5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" i="4"/>
  <c r="H26" i="8"/>
  <c r="H14" i="8"/>
  <c r="H38" i="8"/>
  <c r="H15" i="8"/>
  <c r="H39" i="8"/>
  <c r="H3" i="8"/>
  <c r="H27" i="8"/>
  <c r="H40" i="8"/>
  <c r="H16" i="8"/>
  <c r="H28" i="8"/>
  <c r="H4" i="8"/>
  <c r="H41" i="8"/>
  <c r="H17" i="8"/>
  <c r="H29" i="8"/>
  <c r="H5" i="8"/>
  <c r="H18" i="8"/>
  <c r="H42" i="8"/>
  <c r="H6" i="8"/>
  <c r="H30" i="8"/>
  <c r="H7" i="8"/>
  <c r="H31" i="8"/>
  <c r="H19" i="8"/>
  <c r="H43" i="8"/>
  <c r="H32" i="8"/>
  <c r="H8" i="8"/>
  <c r="H44" i="8"/>
  <c r="H20" i="8"/>
  <c r="H33" i="8"/>
  <c r="H9" i="8"/>
  <c r="H45" i="8"/>
  <c r="H21" i="8"/>
  <c r="H10" i="8"/>
  <c r="H34" i="8"/>
  <c r="H22" i="8"/>
  <c r="H46" i="8"/>
  <c r="H11" i="8"/>
  <c r="H35" i="8"/>
  <c r="H23" i="8"/>
  <c r="H47" i="8"/>
  <c r="H36" i="8"/>
  <c r="H12" i="8"/>
  <c r="H48" i="8"/>
  <c r="H24" i="8"/>
  <c r="H37" i="8"/>
  <c r="H13" i="8"/>
  <c r="H49" i="8"/>
  <c r="H25" i="8"/>
  <c r="H50" i="8"/>
  <c r="H74" i="8"/>
  <c r="H62" i="8"/>
  <c r="H86" i="8"/>
  <c r="H63" i="8"/>
  <c r="H87" i="8"/>
  <c r="H51" i="8"/>
  <c r="H75" i="8"/>
  <c r="H88" i="8"/>
  <c r="H64" i="8"/>
  <c r="H76" i="8"/>
  <c r="H52" i="8"/>
  <c r="H89" i="8"/>
  <c r="H65" i="8"/>
  <c r="H77" i="8"/>
  <c r="H53" i="8"/>
  <c r="H66" i="8"/>
  <c r="H90" i="8"/>
  <c r="H54" i="8"/>
  <c r="H78" i="8"/>
  <c r="H55" i="8"/>
  <c r="H79" i="8"/>
  <c r="H67" i="8"/>
  <c r="H91" i="8"/>
  <c r="H80" i="8"/>
  <c r="H56" i="8"/>
  <c r="H92" i="8"/>
  <c r="H68" i="8"/>
  <c r="H81" i="8"/>
  <c r="H57" i="8"/>
  <c r="H93" i="8"/>
  <c r="H69" i="8"/>
  <c r="H58" i="8"/>
  <c r="H82" i="8"/>
  <c r="H70" i="8"/>
  <c r="H94" i="8"/>
  <c r="H59" i="8"/>
  <c r="H83" i="8"/>
  <c r="H71" i="8"/>
  <c r="H95" i="8"/>
  <c r="H84" i="8"/>
  <c r="H60" i="8"/>
  <c r="H96" i="8"/>
  <c r="H72" i="8"/>
  <c r="H85" i="8"/>
  <c r="H61" i="8"/>
  <c r="H97" i="8"/>
  <c r="H73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70" i="8"/>
  <c r="H158" i="8"/>
  <c r="H182" i="8"/>
  <c r="H159" i="8"/>
  <c r="H183" i="8"/>
  <c r="H147" i="8"/>
  <c r="H171" i="8"/>
  <c r="H184" i="8"/>
  <c r="H160" i="8"/>
  <c r="H172" i="8"/>
  <c r="H148" i="8"/>
  <c r="H185" i="8"/>
  <c r="H161" i="8"/>
  <c r="H173" i="8"/>
  <c r="H149" i="8"/>
  <c r="H162" i="8"/>
  <c r="H186" i="8"/>
  <c r="H150" i="8"/>
  <c r="H174" i="8"/>
  <c r="H151" i="8"/>
  <c r="H175" i="8"/>
  <c r="H163" i="8"/>
  <c r="H187" i="8"/>
  <c r="H176" i="8"/>
  <c r="H152" i="8"/>
  <c r="H188" i="8"/>
  <c r="H164" i="8"/>
  <c r="H177" i="8"/>
  <c r="H153" i="8"/>
  <c r="H189" i="8"/>
  <c r="H165" i="8"/>
  <c r="H154" i="8"/>
  <c r="H178" i="8"/>
  <c r="H166" i="8"/>
  <c r="H190" i="8"/>
  <c r="H155" i="8"/>
  <c r="H179" i="8"/>
  <c r="H167" i="8"/>
  <c r="H191" i="8"/>
  <c r="H180" i="8"/>
  <c r="H156" i="8"/>
  <c r="H192" i="8"/>
  <c r="H168" i="8"/>
  <c r="H181" i="8"/>
  <c r="H157" i="8"/>
  <c r="H193" i="8"/>
  <c r="H169" i="8"/>
  <c r="O35" i="6"/>
  <c r="O48" i="6"/>
  <c r="O11" i="6"/>
  <c r="O24" i="6"/>
  <c r="O25" i="6"/>
  <c r="O12" i="6"/>
  <c r="O13" i="6"/>
  <c r="O47" i="6"/>
  <c r="O49" i="6"/>
  <c r="O36" i="6"/>
  <c r="O37" i="6"/>
  <c r="O23" i="6"/>
  <c r="O31" i="6"/>
  <c r="O30" i="6"/>
  <c r="O29" i="6"/>
  <c r="O43" i="6"/>
  <c r="O42" i="6"/>
  <c r="O41" i="6"/>
  <c r="O7" i="6"/>
  <c r="O6" i="6"/>
  <c r="O10" i="6"/>
  <c r="O20" i="6"/>
  <c r="O21" i="6"/>
  <c r="O22" i="6"/>
  <c r="O32" i="6"/>
  <c r="O33" i="6"/>
  <c r="O34" i="6"/>
  <c r="O44" i="6"/>
  <c r="O45" i="6"/>
  <c r="O46" i="6"/>
  <c r="O9" i="6"/>
  <c r="O8" i="6"/>
  <c r="O19" i="6"/>
  <c r="O5" i="6"/>
  <c r="O18" i="6"/>
  <c r="O17" i="6"/>
  <c r="O15" i="6" l="1"/>
  <c r="O16" i="6"/>
  <c r="O26" i="6"/>
  <c r="O27" i="6"/>
  <c r="O28" i="6"/>
  <c r="O38" i="6"/>
  <c r="O39" i="6"/>
  <c r="O40" i="6"/>
  <c r="O14" i="6"/>
  <c r="O4" i="6"/>
  <c r="O3" i="6"/>
  <c r="O2" i="6"/>
  <c r="O29" i="1" l="1"/>
  <c r="Q17" i="1"/>
  <c r="Q24" i="1"/>
  <c r="P3" i="1"/>
  <c r="P4" i="1"/>
  <c r="P5" i="1"/>
  <c r="P6" i="1"/>
  <c r="P7" i="1"/>
  <c r="P27" i="1" s="1"/>
  <c r="P8" i="1"/>
  <c r="P9" i="1"/>
  <c r="P29" i="1" s="1"/>
  <c r="P10" i="1"/>
  <c r="P28" i="1" s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" i="1"/>
  <c r="P26" i="1" s="1"/>
  <c r="O3" i="1"/>
  <c r="Q3" i="1" s="1"/>
  <c r="O4" i="1"/>
  <c r="Q4" i="1" s="1"/>
  <c r="O5" i="1"/>
  <c r="Q5" i="1" s="1"/>
  <c r="O6" i="1"/>
  <c r="Q6" i="1" s="1"/>
  <c r="O7" i="1"/>
  <c r="Q7" i="1" s="1"/>
  <c r="O8" i="1"/>
  <c r="Q8" i="1" s="1"/>
  <c r="O9" i="1"/>
  <c r="Q9" i="1" s="1"/>
  <c r="O10" i="1"/>
  <c r="Q10" i="1" s="1"/>
  <c r="O11" i="1"/>
  <c r="Q11" i="1" s="1"/>
  <c r="O12" i="1"/>
  <c r="O28" i="1" s="1"/>
  <c r="O13" i="1"/>
  <c r="Q13" i="1" s="1"/>
  <c r="O14" i="1"/>
  <c r="Q14" i="1" s="1"/>
  <c r="O15" i="1"/>
  <c r="Q15" i="1" s="1"/>
  <c r="O16" i="1"/>
  <c r="Q16" i="1" s="1"/>
  <c r="O17" i="1"/>
  <c r="O18" i="1"/>
  <c r="Q18" i="1" s="1"/>
  <c r="O19" i="1"/>
  <c r="Q19" i="1" s="1"/>
  <c r="O20" i="1"/>
  <c r="Q20" i="1" s="1"/>
  <c r="O21" i="1"/>
  <c r="Q21" i="1" s="1"/>
  <c r="O22" i="1"/>
  <c r="Q22" i="1" s="1"/>
  <c r="O23" i="1"/>
  <c r="Q23" i="1" s="1"/>
  <c r="O24" i="1"/>
  <c r="O25" i="1"/>
  <c r="Q25" i="1" s="1"/>
  <c r="O2" i="1"/>
  <c r="O26" i="1" s="1"/>
  <c r="N26" i="1"/>
  <c r="N27" i="1"/>
  <c r="N28" i="1"/>
  <c r="N29" i="1"/>
  <c r="I25" i="5"/>
  <c r="I24" i="5"/>
  <c r="I23" i="5"/>
  <c r="I22" i="5"/>
  <c r="I21" i="5"/>
  <c r="I20" i="5"/>
  <c r="I19" i="5"/>
  <c r="I18" i="5"/>
  <c r="I17" i="5"/>
  <c r="I16" i="5"/>
  <c r="I14" i="5"/>
  <c r="I13" i="5"/>
  <c r="I12" i="5"/>
  <c r="I11" i="5"/>
  <c r="I10" i="5"/>
  <c r="I9" i="5"/>
  <c r="I8" i="5"/>
  <c r="I7" i="5"/>
  <c r="I6" i="5"/>
  <c r="I5" i="5"/>
  <c r="I4" i="5"/>
  <c r="I3" i="5"/>
  <c r="I2" i="5"/>
  <c r="I25" i="4"/>
  <c r="I24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" i="2"/>
  <c r="K26" i="1"/>
  <c r="L26" i="1"/>
  <c r="M26" i="1"/>
  <c r="K27" i="1"/>
  <c r="L27" i="1"/>
  <c r="M27" i="1"/>
  <c r="K28" i="1"/>
  <c r="L28" i="1"/>
  <c r="M28" i="1"/>
  <c r="K29" i="1"/>
  <c r="L29" i="1"/>
  <c r="M29" i="1"/>
  <c r="H15" i="5"/>
  <c r="K3" i="5"/>
  <c r="L3" i="5"/>
  <c r="K4" i="5"/>
  <c r="L4" i="5"/>
  <c r="K5" i="5"/>
  <c r="L5" i="5"/>
  <c r="K6" i="5"/>
  <c r="L6" i="5"/>
  <c r="K7" i="5"/>
  <c r="L7" i="5"/>
  <c r="K8" i="5"/>
  <c r="L8" i="5"/>
  <c r="K9" i="5"/>
  <c r="L9" i="5"/>
  <c r="K10" i="5"/>
  <c r="L10" i="5"/>
  <c r="K11" i="5"/>
  <c r="L11" i="5"/>
  <c r="K12" i="5"/>
  <c r="L12" i="5"/>
  <c r="K13" i="5"/>
  <c r="L13" i="5"/>
  <c r="K14" i="5"/>
  <c r="L14" i="5"/>
  <c r="K15" i="5"/>
  <c r="L15" i="5"/>
  <c r="K16" i="5"/>
  <c r="L16" i="5"/>
  <c r="K17" i="5"/>
  <c r="L17" i="5"/>
  <c r="K18" i="5"/>
  <c r="L18" i="5"/>
  <c r="K19" i="5"/>
  <c r="L19" i="5"/>
  <c r="K20" i="5"/>
  <c r="L20" i="5"/>
  <c r="K21" i="5"/>
  <c r="L21" i="5"/>
  <c r="K22" i="5"/>
  <c r="L22" i="5"/>
  <c r="K23" i="5"/>
  <c r="L23" i="5"/>
  <c r="K24" i="5"/>
  <c r="L24" i="5"/>
  <c r="K25" i="5"/>
  <c r="L25" i="5"/>
  <c r="L2" i="5"/>
  <c r="K2" i="5"/>
  <c r="J25" i="5"/>
  <c r="H25" i="5"/>
  <c r="J24" i="5"/>
  <c r="H24" i="5"/>
  <c r="J23" i="5"/>
  <c r="H23" i="5"/>
  <c r="J22" i="5"/>
  <c r="H22" i="5"/>
  <c r="J21" i="5"/>
  <c r="H21" i="5"/>
  <c r="J20" i="5"/>
  <c r="H20" i="5"/>
  <c r="J19" i="5"/>
  <c r="H19" i="5"/>
  <c r="J18" i="5"/>
  <c r="H18" i="5"/>
  <c r="J17" i="5"/>
  <c r="H17" i="5"/>
  <c r="J16" i="5"/>
  <c r="J15" i="5"/>
  <c r="J14" i="5"/>
  <c r="H14" i="5"/>
  <c r="J13" i="5"/>
  <c r="H13" i="5"/>
  <c r="J12" i="5"/>
  <c r="H12" i="5"/>
  <c r="J11" i="5"/>
  <c r="H11" i="5"/>
  <c r="J10" i="5"/>
  <c r="H10" i="5"/>
  <c r="J9" i="5"/>
  <c r="H9" i="5"/>
  <c r="J8" i="5"/>
  <c r="H8" i="5"/>
  <c r="J7" i="5"/>
  <c r="H7" i="5"/>
  <c r="J6" i="5"/>
  <c r="H6" i="5"/>
  <c r="J5" i="5"/>
  <c r="H5" i="5"/>
  <c r="J4" i="5"/>
  <c r="H4" i="5"/>
  <c r="J3" i="5"/>
  <c r="H3" i="5"/>
  <c r="J2" i="5"/>
  <c r="H2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" i="2"/>
  <c r="K3" i="4"/>
  <c r="L3" i="4"/>
  <c r="K4" i="4"/>
  <c r="L4" i="4"/>
  <c r="K5" i="4"/>
  <c r="L5" i="4"/>
  <c r="K6" i="4"/>
  <c r="L6" i="4"/>
  <c r="K7" i="4"/>
  <c r="L7" i="4"/>
  <c r="K8" i="4"/>
  <c r="L8" i="4"/>
  <c r="K9" i="4"/>
  <c r="L9" i="4"/>
  <c r="K10" i="4"/>
  <c r="L10" i="4"/>
  <c r="K11" i="4"/>
  <c r="L11" i="4"/>
  <c r="K12" i="4"/>
  <c r="L12" i="4"/>
  <c r="K13" i="4"/>
  <c r="L13" i="4"/>
  <c r="K14" i="4"/>
  <c r="L14" i="4"/>
  <c r="K15" i="4"/>
  <c r="L15" i="4"/>
  <c r="K16" i="4"/>
  <c r="L16" i="4"/>
  <c r="K17" i="4"/>
  <c r="L17" i="4"/>
  <c r="K18" i="4"/>
  <c r="L18" i="4"/>
  <c r="K19" i="4"/>
  <c r="L19" i="4"/>
  <c r="K20" i="4"/>
  <c r="L20" i="4"/>
  <c r="K21" i="4"/>
  <c r="L21" i="4"/>
  <c r="K22" i="4"/>
  <c r="L22" i="4"/>
  <c r="K23" i="4"/>
  <c r="L23" i="4"/>
  <c r="K24" i="4"/>
  <c r="L24" i="4"/>
  <c r="K25" i="4"/>
  <c r="L25" i="4"/>
  <c r="L2" i="4"/>
  <c r="K2" i="4"/>
  <c r="H3" i="4"/>
  <c r="H4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" i="4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H2" i="3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0" i="2"/>
  <c r="L10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L2" i="2"/>
  <c r="K2" i="2"/>
  <c r="H3" i="2"/>
  <c r="H4" i="2"/>
  <c r="H5" i="2"/>
  <c r="H6" i="2"/>
  <c r="H7" i="2"/>
  <c r="H8" i="2"/>
  <c r="H9" i="2"/>
  <c r="H10" i="2"/>
  <c r="H11" i="2"/>
  <c r="H12" i="2"/>
  <c r="H13" i="2"/>
  <c r="H15" i="2"/>
  <c r="H16" i="2"/>
  <c r="H17" i="2"/>
  <c r="H18" i="2"/>
  <c r="H19" i="2"/>
  <c r="H20" i="2"/>
  <c r="H21" i="2"/>
  <c r="H22" i="2"/>
  <c r="H23" i="2"/>
  <c r="H24" i="2"/>
  <c r="H25" i="2"/>
  <c r="H2" i="2"/>
  <c r="J29" i="1"/>
  <c r="J28" i="1"/>
  <c r="J27" i="1"/>
  <c r="J26" i="1"/>
  <c r="Q2" i="1" l="1"/>
  <c r="Q12" i="1"/>
  <c r="O27" i="1"/>
  <c r="Q26" i="1" l="1"/>
  <c r="Q27" i="1"/>
  <c r="Q28" i="1"/>
  <c r="Q29" i="1"/>
</calcChain>
</file>

<file path=xl/sharedStrings.xml><?xml version="1.0" encoding="utf-8"?>
<sst xmlns="http://schemas.openxmlformats.org/spreadsheetml/2006/main" count="6542" uniqueCount="922">
  <si>
    <t>母親</t>
  </si>
  <si>
    <t>が</t>
  </si>
  <si>
    <t>赤ちゃん</t>
  </si>
  <si>
    <t>を</t>
  </si>
  <si>
    <t>抱き上げた</t>
  </si>
  <si>
    <t>父親</t>
  </si>
  <si>
    <t>子供</t>
  </si>
  <si>
    <t>保育士</t>
  </si>
  <si>
    <t>男の子</t>
  </si>
  <si>
    <t>かわいがった</t>
  </si>
  <si>
    <t>患者</t>
  </si>
  <si>
    <t>診断した</t>
  </si>
  <si>
    <t>看護師</t>
  </si>
  <si>
    <t>病人</t>
  </si>
  <si>
    <t>手当した</t>
  </si>
  <si>
    <t>警察官</t>
  </si>
  <si>
    <t>犯人</t>
  </si>
  <si>
    <t>捕まえた</t>
  </si>
  <si>
    <t>泥棒</t>
  </si>
  <si>
    <t>追いかけた</t>
  </si>
  <si>
    <t>強盗</t>
  </si>
  <si>
    <t>取り押さえた</t>
  </si>
  <si>
    <t>おまわりさん</t>
  </si>
  <si>
    <t>警備員</t>
  </si>
  <si>
    <t>お客さん</t>
  </si>
  <si>
    <t>案内した</t>
  </si>
  <si>
    <t>店長</t>
  </si>
  <si>
    <t>教師</t>
  </si>
  <si>
    <t>生徒</t>
  </si>
  <si>
    <t>叱った</t>
  </si>
  <si>
    <t>教えた</t>
  </si>
  <si>
    <t>指導した</t>
  </si>
  <si>
    <t>先生</t>
  </si>
  <si>
    <t>小学生</t>
  </si>
  <si>
    <t>褒めた</t>
  </si>
  <si>
    <t>教授</t>
  </si>
  <si>
    <t>大学生</t>
  </si>
  <si>
    <t>被害者</t>
  </si>
  <si>
    <t>弁護士</t>
  </si>
  <si>
    <t>雇った</t>
  </si>
  <si>
    <t>お兄さん</t>
  </si>
  <si>
    <t>お年寄り</t>
  </si>
  <si>
    <t>助けた</t>
  </si>
  <si>
    <t>手伝った</t>
  </si>
  <si>
    <t>おばあさん</t>
  </si>
  <si>
    <t>介護士</t>
  </si>
  <si>
    <t>世話した</t>
  </si>
  <si>
    <t>ヘルパー</t>
  </si>
  <si>
    <t>おじいさん</t>
  </si>
  <si>
    <t>部下</t>
  </si>
  <si>
    <t>上司</t>
  </si>
  <si>
    <t>尊敬した</t>
  </si>
  <si>
    <t>怒った</t>
  </si>
  <si>
    <t>歯医者</t>
  </si>
  <si>
    <t>コーチ</t>
  </si>
  <si>
    <t>少年</t>
  </si>
  <si>
    <t>認めた</t>
  </si>
  <si>
    <t>師匠</t>
  </si>
  <si>
    <t>弟子</t>
  </si>
  <si>
    <t>詐欺師</t>
  </si>
  <si>
    <t>老人</t>
  </si>
  <si>
    <t>騙した</t>
  </si>
  <si>
    <t>社長</t>
  </si>
  <si>
    <t>秘書</t>
  </si>
  <si>
    <t>呼んだ</t>
  </si>
  <si>
    <t>ファン</t>
  </si>
  <si>
    <t>芸能人</t>
  </si>
  <si>
    <t>盗撮した</t>
  </si>
  <si>
    <t>撮影した</t>
  </si>
  <si>
    <t>女優</t>
  </si>
  <si>
    <t>カメラマン</t>
  </si>
  <si>
    <t>記者</t>
  </si>
  <si>
    <t>質問した</t>
  </si>
  <si>
    <t>大臣</t>
  </si>
  <si>
    <t>ga</t>
  </si>
  <si>
    <t>wo</t>
  </si>
  <si>
    <t>item</t>
  </si>
  <si>
    <t>n1</t>
  </si>
  <si>
    <t>n2</t>
  </si>
  <si>
    <t>C1</t>
  </si>
  <si>
    <t>C2</t>
  </si>
  <si>
    <t>v_passive</t>
  </si>
  <si>
    <t>抱き上げられた</t>
  </si>
  <si>
    <t>怒られた</t>
  </si>
  <si>
    <t>かわいがられた</t>
  </si>
  <si>
    <t>診断された</t>
  </si>
  <si>
    <t>手当された</t>
  </si>
  <si>
    <t>捕まえられた</t>
  </si>
  <si>
    <t>取り押さえられた</t>
  </si>
  <si>
    <t>追いかけられた</t>
  </si>
  <si>
    <t>騙された</t>
  </si>
  <si>
    <t>案内された</t>
  </si>
  <si>
    <t>教えられた</t>
  </si>
  <si>
    <t>叱られた</t>
  </si>
  <si>
    <t>褒められた</t>
  </si>
  <si>
    <t>指導された</t>
  </si>
  <si>
    <t>認められた</t>
  </si>
  <si>
    <t>尊敬された</t>
  </si>
  <si>
    <t>呼ばれた</t>
  </si>
  <si>
    <t>雇われた</t>
  </si>
  <si>
    <t>助けられた</t>
  </si>
  <si>
    <t>手伝われた</t>
  </si>
  <si>
    <t>世話された</t>
  </si>
  <si>
    <t>盗撮された</t>
  </si>
  <si>
    <t>撮影された</t>
  </si>
  <si>
    <t>質問された</t>
  </si>
  <si>
    <t>v_base</t>
  </si>
  <si>
    <t>n1_morae</t>
  </si>
  <si>
    <t>average</t>
  </si>
  <si>
    <t>standard deviation</t>
  </si>
  <si>
    <t>minimum</t>
  </si>
  <si>
    <t>max</t>
  </si>
  <si>
    <t>n2_morae</t>
  </si>
  <si>
    <t>v_morae</t>
  </si>
  <si>
    <t>sentence_morae</t>
  </si>
  <si>
    <t>aux</t>
  </si>
  <si>
    <t>らしい</t>
  </si>
  <si>
    <t>そうだ</t>
  </si>
  <si>
    <t>みたいだ</t>
  </si>
  <si>
    <t>r1</t>
  </si>
  <si>
    <t>r2</t>
  </si>
  <si>
    <t>question</t>
  </si>
  <si>
    <t>c1</t>
  </si>
  <si>
    <t>c2</t>
  </si>
  <si>
    <t>is_correct</t>
  </si>
  <si>
    <t>adverb</t>
  </si>
  <si>
    <t>やさしく</t>
  </si>
  <si>
    <t>厳しく</t>
  </si>
  <si>
    <t>adv_morae</t>
  </si>
  <si>
    <t>とても</t>
  </si>
  <si>
    <t>しっかりと</t>
  </si>
  <si>
    <t>すぐに</t>
  </si>
  <si>
    <t>まんまと</t>
  </si>
  <si>
    <t>丁寧に</t>
  </si>
  <si>
    <t>大袈裟に</t>
  </si>
  <si>
    <t>事細かに</t>
  </si>
  <si>
    <t>やっとのことで</t>
  </si>
  <si>
    <t>頻繁に</t>
  </si>
  <si>
    <t>良い条件で</t>
  </si>
  <si>
    <t>必死に</t>
  </si>
  <si>
    <t>素早く</t>
  </si>
  <si>
    <t>手際よく</t>
  </si>
  <si>
    <t>親切に</t>
  </si>
  <si>
    <t>密かに</t>
  </si>
  <si>
    <t>広く</t>
  </si>
  <si>
    <t>らしい</t>
    <phoneticPr fontId="3" type="noConversion"/>
  </si>
  <si>
    <t>そうだ</t>
    <phoneticPr fontId="3" type="noConversion"/>
  </si>
  <si>
    <t>みたいだ</t>
    <phoneticPr fontId="3" type="noConversion"/>
  </si>
  <si>
    <t>aux_morae</t>
  </si>
  <si>
    <t>r1_morae</t>
  </si>
  <si>
    <t>r2_morae</t>
  </si>
  <si>
    <t>犬</t>
  </si>
  <si>
    <t>クマ</t>
  </si>
  <si>
    <t>女の子</t>
  </si>
  <si>
    <t>おばさん</t>
  </si>
  <si>
    <t>チーター</t>
  </si>
  <si>
    <t>ハイエナ</t>
  </si>
  <si>
    <t>カラス</t>
  </si>
  <si>
    <t>おじさんは何をしたか？</t>
  </si>
  <si>
    <t>雪かきした</t>
  </si>
  <si>
    <t>雪かきを頼んだ</t>
  </si>
  <si>
    <t>政治家が国民に</t>
  </si>
  <si>
    <t>国民は何をしたか？</t>
  </si>
  <si>
    <t>攻撃した</t>
  </si>
  <si>
    <t>支持した</t>
  </si>
  <si>
    <t>税金を課せられた</t>
  </si>
  <si>
    <t>政府は何をしたか？</t>
  </si>
  <si>
    <t>税金を課した</t>
  </si>
  <si>
    <t>税金を低くした</t>
  </si>
  <si>
    <t>農民が政府から</t>
  </si>
  <si>
    <t>社長が従業員から</t>
  </si>
  <si>
    <t>とても信頼されている</t>
  </si>
  <si>
    <t>信頼している</t>
  </si>
  <si>
    <t>従業員は何をしているか？</t>
  </si>
  <si>
    <t>困惑している</t>
  </si>
  <si>
    <t>ミツバチが業者によって</t>
  </si>
  <si>
    <t>大統領から金メダリストが</t>
  </si>
  <si>
    <t>賞賛されたらしい</t>
  </si>
  <si>
    <t>雪かきを頼まれたそうだ</t>
  </si>
  <si>
    <t>ひどく攻撃されたそうだ</t>
  </si>
  <si>
    <t>駆除されたらしい</t>
  </si>
  <si>
    <t>大統領は何をしたか？</t>
  </si>
  <si>
    <t>表彰した</t>
  </si>
  <si>
    <t>賞賛した</t>
  </si>
  <si>
    <t>ピアニストが観客に</t>
  </si>
  <si>
    <t>曲を披露した</t>
  </si>
  <si>
    <t>観客</t>
  </si>
  <si>
    <t>観光客</t>
  </si>
  <si>
    <t>誰に披露したか？</t>
  </si>
  <si>
    <t>何を渡したか？</t>
  </si>
  <si>
    <t>メダル</t>
  </si>
  <si>
    <t>サッカー選手</t>
  </si>
  <si>
    <t>誰に相談したか？</t>
  </si>
  <si>
    <t>カウンセラー</t>
  </si>
  <si>
    <t>中学生</t>
  </si>
  <si>
    <t>野球選手にアナウンサーが</t>
  </si>
  <si>
    <t>インタビューしたらしい</t>
  </si>
  <si>
    <t>誰にインタビューしたか？</t>
  </si>
  <si>
    <t>野球選手</t>
  </si>
  <si>
    <t>アナウンサー</t>
  </si>
  <si>
    <t>クマに登山客が</t>
  </si>
  <si>
    <t>襲われたようだ</t>
  </si>
  <si>
    <t>誰に襲われたか？</t>
  </si>
  <si>
    <t>登山客</t>
  </si>
  <si>
    <t>誰に愛されているか？</t>
  </si>
  <si>
    <t>人々</t>
  </si>
  <si>
    <t>村長</t>
  </si>
  <si>
    <t>誰に駆除されたか？</t>
  </si>
  <si>
    <t>ミツバチ</t>
  </si>
  <si>
    <t>業者</t>
  </si>
  <si>
    <t>誰に任せたか？</t>
  </si>
  <si>
    <t>部長</t>
  </si>
  <si>
    <t>平社員</t>
  </si>
  <si>
    <t>おばさんが娘に</t>
  </si>
  <si>
    <t>お年玉をあげたそうだ</t>
  </si>
  <si>
    <t>誰にお年玉をあげたか？</t>
  </si>
  <si>
    <t>娘</t>
  </si>
  <si>
    <t>r1_mora</t>
  </si>
  <si>
    <t>r2_mora</t>
  </si>
  <si>
    <t>sentence_mora</t>
  </si>
  <si>
    <t>村長が人々に</t>
  </si>
  <si>
    <t>広く愛されているらしい</t>
  </si>
  <si>
    <t>高校生が</t>
  </si>
  <si>
    <t>強く憧れたらしい</t>
  </si>
  <si>
    <t>女の子がモデルに</t>
  </si>
  <si>
    <t>誰に憧れたか？</t>
  </si>
  <si>
    <t>モデル</t>
  </si>
  <si>
    <t>会社員が手紙を</t>
  </si>
  <si>
    <t>何を入れたか？</t>
  </si>
  <si>
    <t>ポスト</t>
  </si>
  <si>
    <t>手紙</t>
  </si>
  <si>
    <t>部長が新入社員を</t>
  </si>
  <si>
    <t>取引先に紹介した</t>
  </si>
  <si>
    <t>誰を紹介したか？</t>
  </si>
  <si>
    <t>新入社員</t>
  </si>
  <si>
    <t>取引先</t>
  </si>
  <si>
    <t>誰にあげたか？</t>
  </si>
  <si>
    <t>ピアノを習った</t>
  </si>
  <si>
    <t>ピアニスト</t>
  </si>
  <si>
    <t>ピアニストから中学生が</t>
  </si>
  <si>
    <t>女の子がアナウンサーに</t>
  </si>
  <si>
    <t>何に憧れたか？</t>
  </si>
  <si>
    <t>誰に信頼されているか？</t>
  </si>
  <si>
    <t>噛みつかれたらしい</t>
  </si>
  <si>
    <t>誰に噛みつかれたか？</t>
  </si>
  <si>
    <t>ひどく批判されたそうだ</t>
  </si>
  <si>
    <t>批判した</t>
  </si>
  <si>
    <t>駆逐されたらしい</t>
  </si>
  <si>
    <t>誰に駆逐されたか？</t>
  </si>
  <si>
    <t>会長がメダルを</t>
  </si>
  <si>
    <t>サッカー選手に渡した</t>
  </si>
  <si>
    <t>カウンセラーに悩みを</t>
  </si>
  <si>
    <t>中学生が相談した</t>
  </si>
  <si>
    <t>アメリカ</t>
  </si>
  <si>
    <t>ライオンは凶暴だが</t>
  </si>
  <si>
    <t>シマウマはどうであるか？</t>
  </si>
  <si>
    <t>穏やか</t>
  </si>
  <si>
    <t>凶暴</t>
  </si>
  <si>
    <t>スズメは攻撃しなかった</t>
  </si>
  <si>
    <t>スズメ</t>
  </si>
  <si>
    <t>サメは凶暴だが</t>
  </si>
  <si>
    <t>シマウマは穏やかだそうだ</t>
  </si>
  <si>
    <t>イルカは穏やかだそうだ</t>
  </si>
  <si>
    <t>チーターは攻撃しなかった</t>
  </si>
  <si>
    <t>どちらが攻撃したか？</t>
  </si>
  <si>
    <t>どちらが攻撃しなかったか？</t>
  </si>
  <si>
    <t>佐藤さんは短い</t>
  </si>
  <si>
    <t>誰の首が長いか？</t>
  </si>
  <si>
    <t>佐藤さん</t>
  </si>
  <si>
    <t>上田さんの首は短いが</t>
  </si>
  <si>
    <t>カラスは攻撃したが</t>
  </si>
  <si>
    <t>ハイエナは攻撃したが</t>
  </si>
  <si>
    <t>飯田さんは長い</t>
  </si>
  <si>
    <t>上田さん</t>
  </si>
  <si>
    <t>飯田さん</t>
  </si>
  <si>
    <t>加藤さん</t>
  </si>
  <si>
    <t>斉藤さん</t>
  </si>
  <si>
    <t>加藤さんの足は大きいが</t>
  </si>
  <si>
    <t>斉藤さんは小さい</t>
  </si>
  <si>
    <t>誰の足が小さいか？</t>
  </si>
  <si>
    <t>池田さんの足は小さいが</t>
  </si>
  <si>
    <t>渡辺さんは大きい</t>
  </si>
  <si>
    <t>サメはどうであるか？</t>
  </si>
  <si>
    <t>渡辺さん</t>
  </si>
  <si>
    <t>池田さん</t>
  </si>
  <si>
    <t>金子さんの手は大きいが</t>
  </si>
  <si>
    <t>杉田さんは小さい</t>
  </si>
  <si>
    <t>誰の手が大きいか？</t>
  </si>
  <si>
    <t>杉田さん</t>
  </si>
  <si>
    <t>金子さん</t>
  </si>
  <si>
    <t>島田さんの首は長いが</t>
  </si>
  <si>
    <t>島田さん</t>
  </si>
  <si>
    <t>藤田さんの手は小さいが</t>
  </si>
  <si>
    <t>菊地さんは大きい</t>
  </si>
  <si>
    <t>藤田さん</t>
  </si>
  <si>
    <t>菊地さん</t>
  </si>
  <si>
    <t>ねこ</t>
  </si>
  <si>
    <t>犬は人に懐いたが</t>
  </si>
  <si>
    <t>ねこは懐かなかった</t>
  </si>
  <si>
    <t>どちらが人に懐いたか？</t>
  </si>
  <si>
    <t>インコは人に懐いたが</t>
  </si>
  <si>
    <t>ハムスターは懐かなかった</t>
  </si>
  <si>
    <t>どちらが人に懐かなかったか？</t>
  </si>
  <si>
    <t>ハムスター</t>
  </si>
  <si>
    <t>インコ</t>
  </si>
  <si>
    <t>平社員に部長が</t>
  </si>
  <si>
    <t>大事な仕事を任せた</t>
  </si>
  <si>
    <t>ポストに入れたみたいだ</t>
  </si>
  <si>
    <t>プレゼントをあげたそうだ</t>
  </si>
  <si>
    <t>公園に花が咲いて</t>
  </si>
  <si>
    <t>良い匂いがする</t>
  </si>
  <si>
    <t>どこに花が咲いているか？</t>
  </si>
  <si>
    <t>公園</t>
  </si>
  <si>
    <t>学校</t>
  </si>
  <si>
    <t>学校に桜が咲いて</t>
  </si>
  <si>
    <t>どこに桜が咲いているか？</t>
  </si>
  <si>
    <t>工場で火事が起きて</t>
  </si>
  <si>
    <t>消防車が来たそうだ</t>
  </si>
  <si>
    <t>消防車</t>
  </si>
  <si>
    <t>工場</t>
  </si>
  <si>
    <t>レストランで火事が起きて</t>
  </si>
  <si>
    <t>救急車が来たそうだ</t>
  </si>
  <si>
    <t>どこで火事が起きたか？</t>
  </si>
  <si>
    <t>何が来たか？</t>
  </si>
  <si>
    <t>救急車</t>
  </si>
  <si>
    <t>デパート</t>
  </si>
  <si>
    <t>デパートに有名人がいて</t>
  </si>
  <si>
    <t>店は騒然となった</t>
  </si>
  <si>
    <t>コンビニ</t>
  </si>
  <si>
    <t>コンビニにアイドルがいて</t>
  </si>
  <si>
    <t>どこに有名人がいたか？</t>
  </si>
  <si>
    <t>どこにアイドルがいたか？</t>
  </si>
  <si>
    <t>このカフェではコーヒーより</t>
  </si>
  <si>
    <t>紅茶</t>
  </si>
  <si>
    <t>コーヒー</t>
  </si>
  <si>
    <t>この映画は二作目よりも</t>
  </si>
  <si>
    <t>一作目が人気だ</t>
  </si>
  <si>
    <t>どちらの方が人気か？</t>
  </si>
  <si>
    <t>二作目</t>
  </si>
  <si>
    <t>一作目</t>
  </si>
  <si>
    <t>紅茶がおいしいらしい</t>
  </si>
  <si>
    <t>このカフェではクッキーより</t>
  </si>
  <si>
    <t>ケーキがおいしいらしい</t>
  </si>
  <si>
    <t>どちらの方がおいしいか？</t>
  </si>
  <si>
    <t>ケーキ</t>
  </si>
  <si>
    <t>クッキー</t>
  </si>
  <si>
    <t>この映画は日本よりも</t>
  </si>
  <si>
    <t>アメリカで人気がある</t>
  </si>
  <si>
    <t>どちらの方が映画の人気があるか？</t>
  </si>
  <si>
    <t>日本</t>
  </si>
  <si>
    <t>男性が多いみたいだ</t>
  </si>
  <si>
    <t>どちらの方が多いか？</t>
  </si>
  <si>
    <t>女性</t>
  </si>
  <si>
    <t>男性</t>
  </si>
  <si>
    <t>工学部では女性より</t>
  </si>
  <si>
    <t>男性が少ないみたいだ</t>
  </si>
  <si>
    <t>どちらの方が少ないか？</t>
  </si>
  <si>
    <t>session</t>
  </si>
  <si>
    <t>plausibility</t>
  </si>
  <si>
    <t>plausible</t>
  </si>
  <si>
    <t>n12</t>
  </si>
  <si>
    <t>task</t>
  </si>
  <si>
    <t>articulation</t>
  </si>
  <si>
    <t>nosecondary</t>
  </si>
  <si>
    <t>n21</t>
  </si>
  <si>
    <t>list</t>
  </si>
  <si>
    <t>implausible</t>
  </si>
  <si>
    <t>new_list</t>
  </si>
  <si>
    <t>ID</t>
  </si>
  <si>
    <t>duration_r1</t>
  </si>
  <si>
    <t>duration_r2</t>
  </si>
  <si>
    <t>sound_r1_url</t>
  </si>
  <si>
    <t>sound_r2_url</t>
  </si>
  <si>
    <t>secondary_url</t>
  </si>
  <si>
    <t>duration_forQ</t>
  </si>
  <si>
    <t>duration_iti</t>
  </si>
  <si>
    <t>1-plausible-articulation-n12</t>
  </si>
  <si>
    <t>4-plausible-articulation-n21</t>
  </si>
  <si>
    <t>6-implausible-articulation-n12</t>
  </si>
  <si>
    <t>8-implausible-nosecondary-n12</t>
  </si>
  <si>
    <t>10-plausible-nosecondary-n21</t>
  </si>
  <si>
    <t>11-plausible-nosecondary-n12</t>
  </si>
  <si>
    <t>13-implausible-nosecondary-n21</t>
  </si>
  <si>
    <t>15-implausible-articulation-n21</t>
  </si>
  <si>
    <t>17-plausible-articulation-n12</t>
  </si>
  <si>
    <t>19-plausible-nosecondary-n12</t>
  </si>
  <si>
    <t>21-implausible-nosecondary-n21</t>
  </si>
  <si>
    <t>23-implausible-articulation-n21</t>
  </si>
  <si>
    <t>filler</t>
  </si>
  <si>
    <t>赤ちゃんが母親に</t>
  </si>
  <si>
    <t>やさしく抱き上げられたらしい</t>
  </si>
  <si>
    <t>誰が抱き上げたか？</t>
  </si>
  <si>
    <t>患者が歯医者に</t>
  </si>
  <si>
    <t>事細かに診断されたみたいだ</t>
  </si>
  <si>
    <t>誰が診断したか？</t>
  </si>
  <si>
    <t>警察官が犯人に</t>
  </si>
  <si>
    <t>すぐに捕まえられたらしい</t>
  </si>
  <si>
    <t>誰が捕まえたか？</t>
  </si>
  <si>
    <t>警備員が泥棒に</t>
  </si>
  <si>
    <t>必死に追いかけられたらしい</t>
  </si>
  <si>
    <t>誰が追いかけたか？</t>
  </si>
  <si>
    <t>お客さんが店長に</t>
  </si>
  <si>
    <t>丁寧に案内されたらしい</t>
  </si>
  <si>
    <t>誰が案内したか？</t>
  </si>
  <si>
    <t>生徒が教師に</t>
  </si>
  <si>
    <t>丁寧に教えられたみたいだ</t>
  </si>
  <si>
    <t>誰が教えたか？</t>
  </si>
  <si>
    <t>教授が大学生に</t>
  </si>
  <si>
    <t>大袈裟に褒められたそうだ</t>
  </si>
  <si>
    <t>誰が褒めたか？</t>
  </si>
  <si>
    <t>師匠が弟子に</t>
  </si>
  <si>
    <t>やっとのことで認められたみたいだ</t>
  </si>
  <si>
    <t>誰が認めたか？</t>
  </si>
  <si>
    <t>秘書が社長に</t>
  </si>
  <si>
    <t>頻繁に呼ばれたみたいだ</t>
  </si>
  <si>
    <t>誰が呼んだか？</t>
  </si>
  <si>
    <t>お年寄りがお兄さんに</t>
  </si>
  <si>
    <t>親切に助けられたらしい</t>
  </si>
  <si>
    <t>誰が助けたか？</t>
  </si>
  <si>
    <t>介護士がおじいさんに</t>
  </si>
  <si>
    <t>手際よく世話されたそうだ</t>
  </si>
  <si>
    <t>誰が世話したか？</t>
  </si>
  <si>
    <t>カメラマンが女優に</t>
  </si>
  <si>
    <t>手際よく撮影されたそうだ</t>
  </si>
  <si>
    <t>誰が撮影したか？</t>
  </si>
  <si>
    <t>文学部では女性より</t>
    <rPh sb="5" eb="7">
      <t>ジョセイ</t>
    </rPh>
    <phoneticPr fontId="4"/>
  </si>
  <si>
    <t>audio/1_r1_plausible.wav</t>
  </si>
  <si>
    <t>audio/4_r1_plausible.wav</t>
  </si>
  <si>
    <t>audio/6_r1_implausible.wav</t>
  </si>
  <si>
    <t>audio/8_r1_implausible.wav</t>
  </si>
  <si>
    <t>audio/10_r1_plausible.wav</t>
  </si>
  <si>
    <t>audio/11_r1_plausible.wav</t>
  </si>
  <si>
    <t>audio/13_r1_implausible.wav</t>
  </si>
  <si>
    <t>audio/15_r1_implausible.wav</t>
  </si>
  <si>
    <t>audio/17_r1_plausible.wav</t>
  </si>
  <si>
    <t>audio/19_r1_plausible.wav</t>
  </si>
  <si>
    <t>audio/21_r1_implausible.wav</t>
  </si>
  <si>
    <t>audio/23_r1_implausible.wav</t>
  </si>
  <si>
    <t>誰から習ったか？</t>
    <phoneticPr fontId="4"/>
  </si>
  <si>
    <t>audio/101_r1.wav</t>
  </si>
  <si>
    <t>audio/101_r2.wav</t>
  </si>
  <si>
    <t>audio/102_r1.wav</t>
  </si>
  <si>
    <t>audio/102_r2.wav</t>
  </si>
  <si>
    <t>audio/103_r1.wav</t>
  </si>
  <si>
    <t>audio/103_r2.wav</t>
  </si>
  <si>
    <t>audio/116_r1.wav</t>
  </si>
  <si>
    <t>audio/116_r2.wav</t>
  </si>
  <si>
    <t>audio/117_r1.wav</t>
  </si>
  <si>
    <t>audio/117_r2.wav</t>
  </si>
  <si>
    <t>audio/118_r1.wav</t>
  </si>
  <si>
    <t>audio/118_r2.wav</t>
  </si>
  <si>
    <t>audio/125_r1.wav</t>
  </si>
  <si>
    <t>audio/125_r2.wav</t>
  </si>
  <si>
    <t>audio/126_r1.wav</t>
  </si>
  <si>
    <t>audio/126_r2.wav</t>
  </si>
  <si>
    <t>audio/127_r1.wav</t>
  </si>
  <si>
    <t>audio/127_r2.wav</t>
  </si>
  <si>
    <t>audio/140_r1.wav</t>
  </si>
  <si>
    <t>audio/140_r2.wav</t>
  </si>
  <si>
    <t>audio/141_r1.wav</t>
  </si>
  <si>
    <t>audio/141_r2.wav</t>
  </si>
  <si>
    <t>audio/142_r1.wav</t>
  </si>
  <si>
    <t>audio/142_r2.wav</t>
  </si>
  <si>
    <t>audio/1_r2.wav</t>
  </si>
  <si>
    <t>audio/4_r2.wav</t>
  </si>
  <si>
    <t>audio/6_r2.wav</t>
  </si>
  <si>
    <t>audio/8_r2.wav</t>
  </si>
  <si>
    <t>audio/10_r2.wav</t>
  </si>
  <si>
    <t>audio/11_r2.wav</t>
  </si>
  <si>
    <t>audio/13_r2.wav</t>
  </si>
  <si>
    <t>audio/15_r2.wav</t>
  </si>
  <si>
    <t>audio/17_r2.wav</t>
  </si>
  <si>
    <t>audio/19_r2.wav</t>
  </si>
  <si>
    <t>audio/21_r2.wav</t>
  </si>
  <si>
    <t>audio/23_r2.wav</t>
  </si>
  <si>
    <t>2-plausible-nosecondary-n21</t>
  </si>
  <si>
    <t>3-plausible-nosecondary-n12</t>
  </si>
  <si>
    <t>5-implausible-nosecondary-n21</t>
  </si>
  <si>
    <t>7-implausible-articulation-n21</t>
  </si>
  <si>
    <t>9-plausible-articulation-n12</t>
  </si>
  <si>
    <t>12-plausible-articulation-n21</t>
  </si>
  <si>
    <t>14-implausible-articulation-n12</t>
  </si>
  <si>
    <t>16-implausible-nosecondary-n12</t>
  </si>
  <si>
    <t>18-plausible-nosecondary-n21</t>
  </si>
  <si>
    <t>20-plausible-articulation-n21</t>
  </si>
  <si>
    <t>22-implausible-articulation-n12</t>
  </si>
  <si>
    <t>24-implausible-nosecondary-n12</t>
  </si>
  <si>
    <t>男の子が父親に</t>
  </si>
  <si>
    <t>厳しく怒られたらしい</t>
  </si>
  <si>
    <t>誰が怒ったか？</t>
  </si>
  <si>
    <t>audio/2_r1_plausible.wav</t>
  </si>
  <si>
    <t>audio/2_r2.wav</t>
  </si>
  <si>
    <t>子供が保育士に</t>
  </si>
  <si>
    <t>とてもかわいがられたそうだ</t>
  </si>
  <si>
    <t>誰がかわいがったか？</t>
  </si>
  <si>
    <t>audio/3_r1_plausible.wav</t>
  </si>
  <si>
    <t>audio/3_r2.wav</t>
  </si>
  <si>
    <t>看護師が病人に</t>
  </si>
  <si>
    <t>やさしく手当されたそうだ</t>
  </si>
  <si>
    <t>誰が手当したか？</t>
  </si>
  <si>
    <t>audio/5_r1_implausible.wav</t>
  </si>
  <si>
    <t>audio/5_r2.wav</t>
  </si>
  <si>
    <t>おまわりさんが強盗に</t>
  </si>
  <si>
    <t>すぐに取り押さえられたらしい</t>
  </si>
  <si>
    <t>誰が取り押さえたか？</t>
  </si>
  <si>
    <t>audio/7_r1_implausible.wav</t>
  </si>
  <si>
    <t>audio/7_r2.wav</t>
  </si>
  <si>
    <t>老人が詐欺師に</t>
  </si>
  <si>
    <t>まんまと騙されたみたいだ</t>
  </si>
  <si>
    <t>誰が騙したか？</t>
  </si>
  <si>
    <t>audio/9_r1_plausible.wav</t>
  </si>
  <si>
    <t>audio/9_r2.wav</t>
  </si>
  <si>
    <t>小学生が先生に</t>
  </si>
  <si>
    <t>厳しく叱られたそうだ</t>
  </si>
  <si>
    <t>誰が叱ったか？</t>
  </si>
  <si>
    <t>audio/12_r1_plausible.wav</t>
  </si>
  <si>
    <t>audio/12_r2.wav</t>
  </si>
  <si>
    <t>コーチが少年に</t>
  </si>
  <si>
    <t>しっかりと指導されたそうだ</t>
  </si>
  <si>
    <t>誰が指導したか？</t>
  </si>
  <si>
    <t>audio/14_r1_implausible.wav</t>
  </si>
  <si>
    <t>audio/14_r2.wav</t>
  </si>
  <si>
    <t>部下が上司に</t>
  </si>
  <si>
    <t>広く尊敬されたそうだ</t>
  </si>
  <si>
    <t>誰が尊敬したか？</t>
  </si>
  <si>
    <t>audio/16_r1_implausible.wav</t>
  </si>
  <si>
    <t>audio/16_r2.wav</t>
  </si>
  <si>
    <t>弁護士が被害者に</t>
  </si>
  <si>
    <t>良い条件で雇われたみたいだ</t>
  </si>
  <si>
    <t>誰が雇ったか？</t>
  </si>
  <si>
    <t>audio/18_r1_plausible.wav</t>
  </si>
  <si>
    <t>audio/18_r2.wav</t>
  </si>
  <si>
    <t>おばあさんがヘルパーに</t>
  </si>
  <si>
    <t>素早く手伝われたみたいだ</t>
  </si>
  <si>
    <t>誰が手伝ったか？</t>
  </si>
  <si>
    <t>audio/20_r1_plausible.wav</t>
  </si>
  <si>
    <t>audio/20_r2.wav</t>
  </si>
  <si>
    <t>ファンが芸能人に</t>
  </si>
  <si>
    <t>密かに盗撮されたらしい</t>
  </si>
  <si>
    <t>誰が盗撮したか？</t>
  </si>
  <si>
    <t>audio/22_r1_implausible.wav</t>
  </si>
  <si>
    <t>audio/22_r2.wav</t>
  </si>
  <si>
    <t>記者が大臣に</t>
  </si>
  <si>
    <t>事細かに質問されたそうだ</t>
  </si>
  <si>
    <t>誰が質問したか？</t>
  </si>
  <si>
    <t>audio/24_r1_implausible.wav</t>
  </si>
  <si>
    <t>audio/24_r2.wav</t>
  </si>
  <si>
    <t>audio/104_r1.wav</t>
  </si>
  <si>
    <t>audio/104_r2.wav</t>
  </si>
  <si>
    <t>audio/105_r1.wav</t>
  </si>
  <si>
    <t>audio/105_r2.wav</t>
  </si>
  <si>
    <t>audio/106_r1.wav</t>
  </si>
  <si>
    <t>audio/106_r2.wav</t>
  </si>
  <si>
    <t>audio/113_r1.wav</t>
  </si>
  <si>
    <t>audio/113_r2.wav</t>
  </si>
  <si>
    <t>audio/114_r1.wav</t>
  </si>
  <si>
    <t>audio/114_r2.wav</t>
  </si>
  <si>
    <t>audio/115_r1.wav</t>
  </si>
  <si>
    <t>audio/115_r2.wav</t>
  </si>
  <si>
    <t>audio/128_r1.wav</t>
  </si>
  <si>
    <t>audio/128_r2.wav</t>
  </si>
  <si>
    <t>audio/129_r1.wav</t>
  </si>
  <si>
    <t>audio/129_r2.wav</t>
  </si>
  <si>
    <t>audio/130_r1.wav</t>
  </si>
  <si>
    <t>audio/130_r2.wav</t>
  </si>
  <si>
    <t>audio/137_r1.wav</t>
  </si>
  <si>
    <t>audio/137_r2.wav</t>
  </si>
  <si>
    <t>audio/138_r1.wav</t>
  </si>
  <si>
    <t>audio/138_r2.wav</t>
  </si>
  <si>
    <t>audio/139_r1.wav</t>
  </si>
  <si>
    <t>audio/139_r2.wav</t>
  </si>
  <si>
    <t>1-implausible-nosecondary-n21</t>
  </si>
  <si>
    <t>4-implausible-nosecondary-n12</t>
  </si>
  <si>
    <t>6-plausible-nosecondary-n21</t>
  </si>
  <si>
    <t>8-plausible-articulation-n21</t>
  </si>
  <si>
    <t>10-implausible-articulation-n12</t>
  </si>
  <si>
    <t>11-implausible-articulation-n21</t>
  </si>
  <si>
    <t>13-plausible-articulation-n12</t>
  </si>
  <si>
    <t>15-plausible-nosecondary-n12</t>
  </si>
  <si>
    <t>17-implausible-nosecondary-n21</t>
  </si>
  <si>
    <t>19-implausible-articulation-n21</t>
  </si>
  <si>
    <t>21-plausible-articulation-n12</t>
  </si>
  <si>
    <t>23-plausible-nosecondary-n12</t>
  </si>
  <si>
    <t>母親が赤ちゃんに</t>
  </si>
  <si>
    <t>audio/1_r1_implausible.wav</t>
  </si>
  <si>
    <t>歯医者が患者に</t>
  </si>
  <si>
    <t>audio/4_r1_implausible.wav</t>
  </si>
  <si>
    <t>犯人が警察官に</t>
  </si>
  <si>
    <t>audio/6_r1_plausible.wav</t>
  </si>
  <si>
    <t>泥棒が警備員に</t>
  </si>
  <si>
    <t>audio/8_r1_plausible.wav</t>
  </si>
  <si>
    <t>店長がお客さんに</t>
  </si>
  <si>
    <t>audio/10_r1_implausible.wav</t>
  </si>
  <si>
    <t>教師が生徒に</t>
  </si>
  <si>
    <t>audio/11_r1_implausible.wav</t>
  </si>
  <si>
    <t>大学生が教授に</t>
  </si>
  <si>
    <t>audio/13_r1_plausible.wav</t>
  </si>
  <si>
    <t>弟子が師匠に</t>
  </si>
  <si>
    <t>audio/15_r1_plausible.wav</t>
  </si>
  <si>
    <t>社長が秘書に</t>
  </si>
  <si>
    <t>audio/17_r1_implausible.wav</t>
  </si>
  <si>
    <t>お兄さんがお年寄りに</t>
  </si>
  <si>
    <t>audio/19_r1_implausible.wav</t>
  </si>
  <si>
    <t>おじいさんが介護士に</t>
  </si>
  <si>
    <t>audio/21_r1_plausible.wav</t>
  </si>
  <si>
    <t>女優がカメラマンに</t>
  </si>
  <si>
    <t>audio/23_r1_plausible.wav</t>
  </si>
  <si>
    <t>audio/107_r1.wav</t>
  </si>
  <si>
    <t>audio/107_r2.wav</t>
  </si>
  <si>
    <t>audio/108_r1.wav</t>
  </si>
  <si>
    <t>audio/108_r2.wav</t>
  </si>
  <si>
    <t>audio/109_r1.wav</t>
  </si>
  <si>
    <t>audio/109_r2.wav</t>
  </si>
  <si>
    <t>audio/122_r1.wav</t>
  </si>
  <si>
    <t>audio/122_r2.wav</t>
  </si>
  <si>
    <t>audio/123_r1.wav</t>
  </si>
  <si>
    <t>audio/123_r2.wav</t>
  </si>
  <si>
    <t>audio/124_r1.wav</t>
  </si>
  <si>
    <t>audio/124_r2.wav</t>
  </si>
  <si>
    <t>audio/131_r1.wav</t>
  </si>
  <si>
    <t>audio/131_r2.wav</t>
  </si>
  <si>
    <t>audio/132_r1.wav</t>
  </si>
  <si>
    <t>audio/132_r2.wav</t>
  </si>
  <si>
    <t>audio/133_r1.wav</t>
  </si>
  <si>
    <t>audio/133_r2.wav</t>
  </si>
  <si>
    <t>audio/146_r1.wav</t>
  </si>
  <si>
    <t>audio/146_r2.wav</t>
  </si>
  <si>
    <t>audio/147_r1.wav</t>
  </si>
  <si>
    <t>audio/147_r2.wav</t>
  </si>
  <si>
    <t>audio/148_r1.wav</t>
  </si>
  <si>
    <t>audio/148_r2.wav</t>
  </si>
  <si>
    <t>plausibility</t>
    <phoneticPr fontId="4"/>
  </si>
  <si>
    <t>filler</t>
    <phoneticPr fontId="4"/>
  </si>
  <si>
    <t>2-implausible-articulation-n12</t>
  </si>
  <si>
    <t>3-implausible-articulation-n21</t>
  </si>
  <si>
    <t>5-plausible-articulation-n12</t>
  </si>
  <si>
    <t>7-plausible-nosecondary-n12</t>
  </si>
  <si>
    <t>9-implausible-nosecondary-n21</t>
  </si>
  <si>
    <t>12-implausible-nosecondary-n12</t>
  </si>
  <si>
    <t>14-plausible-nosecondary-n21</t>
  </si>
  <si>
    <t>16-plausible-articulation-n21</t>
  </si>
  <si>
    <t>18-implausible-articulation-n12</t>
  </si>
  <si>
    <t>20-implausible-nosecondary-n12</t>
  </si>
  <si>
    <t>22-plausible-nosecondary-n21</t>
  </si>
  <si>
    <t>24-plausible-articulation-n21</t>
  </si>
  <si>
    <t>父親が男の子に</t>
  </si>
  <si>
    <t>audio/2_r1_implausible.wav</t>
  </si>
  <si>
    <t>保育士が子供に</t>
  </si>
  <si>
    <t>audio/3_r1_implausible.wav</t>
  </si>
  <si>
    <t>病人が看護師に</t>
  </si>
  <si>
    <t>audio/5_r1_plausible.wav</t>
  </si>
  <si>
    <t>強盗がおまわりさんに</t>
  </si>
  <si>
    <t>audio/7_r1_plausible.wav</t>
  </si>
  <si>
    <t>詐欺師が老人に</t>
  </si>
  <si>
    <t>audio/9_r1_implausible.wav</t>
  </si>
  <si>
    <t>先生が小学生に</t>
  </si>
  <si>
    <t>audio/12_r1_implausible.wav</t>
  </si>
  <si>
    <t>少年がコーチに</t>
  </si>
  <si>
    <t>audio/14_r1_plausible.wav</t>
  </si>
  <si>
    <t>上司が部下に</t>
  </si>
  <si>
    <t>audio/16_r1_plausible.wav</t>
  </si>
  <si>
    <t>被害者が弁護士に</t>
  </si>
  <si>
    <t>audio/18_r1_implausible.wav</t>
  </si>
  <si>
    <t>ヘルパーがおばあさんに</t>
  </si>
  <si>
    <t>audio/20_r1_implausible.wav</t>
  </si>
  <si>
    <t>芸能人がファンに</t>
  </si>
  <si>
    <t>audio/22_r1_plausible.wav</t>
  </si>
  <si>
    <t>大臣が記者に</t>
  </si>
  <si>
    <t>audio/24_r1_plausible.wav</t>
  </si>
  <si>
    <t>誰から習ったか？</t>
  </si>
  <si>
    <t>audio/110_r1.wav</t>
  </si>
  <si>
    <t>audio/110_r2.wav</t>
  </si>
  <si>
    <t>audio/111_r1.wav</t>
  </si>
  <si>
    <t>audio/111_r2.wav</t>
  </si>
  <si>
    <t>audio/112_r1.wav</t>
  </si>
  <si>
    <t>audio/112_r2.wav</t>
  </si>
  <si>
    <t>audio/119_r1.wav</t>
  </si>
  <si>
    <t>audio/119_r2.wav</t>
  </si>
  <si>
    <t>audio/120_r1.wav</t>
  </si>
  <si>
    <t>audio/120_r2.wav</t>
  </si>
  <si>
    <t>audio/121_r1.wav</t>
  </si>
  <si>
    <t>audio/121_r2.wav</t>
  </si>
  <si>
    <t>audio/134_r1.wav</t>
  </si>
  <si>
    <t>audio/134_r2.wav</t>
  </si>
  <si>
    <t>audio/135_r1.wav</t>
  </si>
  <si>
    <t>audio/135_r2.wav</t>
  </si>
  <si>
    <t>audio/136_r1.wav</t>
  </si>
  <si>
    <t>audio/136_r2.wav</t>
  </si>
  <si>
    <t>audio/143_r1.wav</t>
  </si>
  <si>
    <t>audio/143_r2.wav</t>
  </si>
  <si>
    <t>audio/144_r1.wav</t>
  </si>
  <si>
    <t>audio/144_r2.wav</t>
  </si>
  <si>
    <t>audio/145_r1.wav</t>
  </si>
  <si>
    <t>audio/145_r2.wav</t>
  </si>
  <si>
    <t>101-filler-nosecondary</t>
  </si>
  <si>
    <t>102-filler-articulation</t>
  </si>
  <si>
    <t>103-filler-nosecondary</t>
  </si>
  <si>
    <t>116-filler-articulation</t>
  </si>
  <si>
    <t>117-filler-nosecondary</t>
  </si>
  <si>
    <t>118-filler-articulation</t>
  </si>
  <si>
    <t>125-filler-nosecondary</t>
  </si>
  <si>
    <t>126-filler-articulation</t>
  </si>
  <si>
    <t>127-filler-nosecondary</t>
  </si>
  <si>
    <t>140-filler-articulation</t>
  </si>
  <si>
    <t>141-filler-nosecondary</t>
  </si>
  <si>
    <t>142-filler-articulation</t>
  </si>
  <si>
    <t>104-filler-nosecondary</t>
  </si>
  <si>
    <t>105-filler-articulation</t>
  </si>
  <si>
    <t>106-filler-nosecondary</t>
  </si>
  <si>
    <t>113-filler-articulation</t>
  </si>
  <si>
    <t>114-filler-nosecondary</t>
  </si>
  <si>
    <t>115-filler-articulation</t>
  </si>
  <si>
    <t>128-filler-nosecondary</t>
  </si>
  <si>
    <t>129-filler-articulation</t>
  </si>
  <si>
    <t>130-filler-nosecondary</t>
  </si>
  <si>
    <t>137-filler-articulation</t>
  </si>
  <si>
    <t>138-filler-nosecondary</t>
  </si>
  <si>
    <t>139-filler-articulation</t>
  </si>
  <si>
    <t>107-filler-nosecondary</t>
  </si>
  <si>
    <t>108-filler-articulation</t>
  </si>
  <si>
    <t>109-filler-nosecondary</t>
  </si>
  <si>
    <t>122-filler-articulation</t>
  </si>
  <si>
    <t>123-filler-nosecondary</t>
  </si>
  <si>
    <t>124-filler-articulation</t>
  </si>
  <si>
    <t>131-filler-nosecondary</t>
  </si>
  <si>
    <t>132-filler-articulation</t>
  </si>
  <si>
    <t>133-filler-nosecondary</t>
  </si>
  <si>
    <t>146-filler-articulation</t>
  </si>
  <si>
    <t>147-filler-nosecondary</t>
  </si>
  <si>
    <t>148-filler-articulation</t>
  </si>
  <si>
    <t>110-filler-nosecondary</t>
  </si>
  <si>
    <t>111-filler-articulation</t>
  </si>
  <si>
    <t>112-filler-nosecondary</t>
  </si>
  <si>
    <t>119-filler-articulation</t>
  </si>
  <si>
    <t>120-filler-nosecondary</t>
  </si>
  <si>
    <t>121-filler-articulation</t>
  </si>
  <si>
    <t>134-filler-nosecondary</t>
  </si>
  <si>
    <t>135-filler-articulation</t>
  </si>
  <si>
    <t>136-filler-nosecondary</t>
  </si>
  <si>
    <t>143-filler-articulation</t>
  </si>
  <si>
    <t>144-filler-nosecondary</t>
  </si>
  <si>
    <t>145-filler-articulation</t>
  </si>
  <si>
    <t>practice</t>
    <phoneticPr fontId="4"/>
  </si>
  <si>
    <t>articulation</t>
    <phoneticPr fontId="4"/>
  </si>
  <si>
    <t>政治家が官僚に</t>
    <rPh sb="0" eb="3">
      <t>セイジカ</t>
    </rPh>
    <rPh sb="4" eb="6">
      <t>カンリョウ</t>
    </rPh>
    <phoneticPr fontId="4"/>
  </si>
  <si>
    <t>資料を作らせたらしい</t>
    <rPh sb="0" eb="2">
      <t>シリョウ</t>
    </rPh>
    <rPh sb="3" eb="4">
      <t>ツク</t>
    </rPh>
    <phoneticPr fontId="4"/>
  </si>
  <si>
    <t>政治家</t>
    <rPh sb="0" eb="3">
      <t>セイジカ</t>
    </rPh>
    <phoneticPr fontId="4"/>
  </si>
  <si>
    <t>誰が作らせたか？</t>
    <rPh sb="0" eb="1">
      <t>ダレ</t>
    </rPh>
    <rPh sb="2" eb="3">
      <t>ツク</t>
    </rPh>
    <phoneticPr fontId="4"/>
  </si>
  <si>
    <t>官僚</t>
    <rPh sb="0" eb="2">
      <t>カンリョウ</t>
    </rPh>
    <phoneticPr fontId="4"/>
  </si>
  <si>
    <t>ぶどうは高級だが</t>
    <rPh sb="4" eb="6">
      <t>コウキュウ</t>
    </rPh>
    <phoneticPr fontId="4"/>
  </si>
  <si>
    <t>みかんはそうでもない</t>
    <phoneticPr fontId="4"/>
  </si>
  <si>
    <t>何が高級か？</t>
    <rPh sb="0" eb="1">
      <t>ナニ</t>
    </rPh>
    <rPh sb="2" eb="4">
      <t>コウキュウ</t>
    </rPh>
    <phoneticPr fontId="4"/>
  </si>
  <si>
    <t>ぶどう</t>
    <phoneticPr fontId="4"/>
  </si>
  <si>
    <t>みかん</t>
    <phoneticPr fontId="4"/>
  </si>
  <si>
    <t>宮城県は東京都より</t>
    <rPh sb="0" eb="3">
      <t>ミヤギケン</t>
    </rPh>
    <rPh sb="4" eb="7">
      <t>トウキョウト</t>
    </rPh>
    <phoneticPr fontId="4"/>
  </si>
  <si>
    <t>面積が広い</t>
    <rPh sb="0" eb="2">
      <t>メンセキ</t>
    </rPh>
    <rPh sb="3" eb="4">
      <t>ヒロ</t>
    </rPh>
    <phoneticPr fontId="4"/>
  </si>
  <si>
    <t>どちらの方が広いか？</t>
    <rPh sb="4" eb="5">
      <t>ホウ</t>
    </rPh>
    <rPh sb="6" eb="7">
      <t>ヒロ</t>
    </rPh>
    <phoneticPr fontId="4"/>
  </si>
  <si>
    <t>東京都</t>
    <rPh sb="0" eb="3">
      <t>トウキョウト</t>
    </rPh>
    <phoneticPr fontId="4"/>
  </si>
  <si>
    <t>宮城県</t>
    <rPh sb="0" eb="3">
      <t>ミヤギケン</t>
    </rPh>
    <phoneticPr fontId="4"/>
  </si>
  <si>
    <t>藤岡さんはベッドに入り</t>
    <rPh sb="0" eb="2">
      <t>フジオカ</t>
    </rPh>
    <rPh sb="9" eb="10">
      <t>ハイ</t>
    </rPh>
    <phoneticPr fontId="4"/>
  </si>
  <si>
    <t>ふとん</t>
    <phoneticPr fontId="4"/>
  </si>
  <si>
    <t>ベッド</t>
    <phoneticPr fontId="4"/>
  </si>
  <si>
    <t>スヤスヤと眠った</t>
    <rPh sb="5" eb="6">
      <t>ネム</t>
    </rPh>
    <phoneticPr fontId="4"/>
  </si>
  <si>
    <t>バーテンダーがカフェで</t>
    <phoneticPr fontId="4"/>
  </si>
  <si>
    <t>読書を楽しんだ</t>
    <rPh sb="0" eb="2">
      <t>ドクショ</t>
    </rPh>
    <rPh sb="3" eb="4">
      <t>タノ</t>
    </rPh>
    <phoneticPr fontId="4"/>
  </si>
  <si>
    <t>バー</t>
    <phoneticPr fontId="4"/>
  </si>
  <si>
    <t>カフェ</t>
    <phoneticPr fontId="4"/>
  </si>
  <si>
    <t>どこでバーテンダーが楽しんだか？</t>
    <rPh sb="10" eb="11">
      <t>タノ</t>
    </rPh>
    <phoneticPr fontId="4"/>
  </si>
  <si>
    <t>どこに藤岡さんが入ったか？</t>
    <rPh sb="3" eb="5">
      <t>フジオカ</t>
    </rPh>
    <rPh sb="8" eb="9">
      <t>ハイ</t>
    </rPh>
    <phoneticPr fontId="4"/>
  </si>
  <si>
    <t>ゆうたさんは財布ではなく</t>
    <rPh sb="6" eb="8">
      <t>サイフ</t>
    </rPh>
    <phoneticPr fontId="4"/>
  </si>
  <si>
    <t>鍵を家に忘れた</t>
    <rPh sb="0" eb="1">
      <t>カギ</t>
    </rPh>
    <rPh sb="2" eb="3">
      <t>イエ</t>
    </rPh>
    <rPh sb="4" eb="5">
      <t>ワス</t>
    </rPh>
    <phoneticPr fontId="4"/>
  </si>
  <si>
    <t>何を忘れたか？</t>
    <rPh sb="0" eb="1">
      <t>ナニ</t>
    </rPh>
    <rPh sb="2" eb="3">
      <t>ワス</t>
    </rPh>
    <phoneticPr fontId="4"/>
  </si>
  <si>
    <t>財布</t>
    <rPh sb="0" eb="2">
      <t>サイフ</t>
    </rPh>
    <phoneticPr fontId="4"/>
  </si>
  <si>
    <t>鍵</t>
    <rPh sb="0" eb="1">
      <t>カギ</t>
    </rPh>
    <phoneticPr fontId="4"/>
  </si>
  <si>
    <t>1-plausible-articulation-n21</t>
  </si>
  <si>
    <t>4-plausible-nosecondary-n12</t>
  </si>
  <si>
    <t>6-implausible-nosecondary-n21</t>
  </si>
  <si>
    <t>8-implausible-articulation-n21</t>
  </si>
  <si>
    <t>10-plausible-articulation-n12</t>
  </si>
  <si>
    <t>11-plausible-nosecondary-n21</t>
  </si>
  <si>
    <t>13-implausible-nosecondary-n12</t>
  </si>
  <si>
    <t>15-implausible-articulation-n12</t>
  </si>
  <si>
    <t>17-plausible-articulation-n21</t>
  </si>
  <si>
    <t>19-plausible-nosecondary-n21</t>
  </si>
  <si>
    <t>21-implausible-nosecondary-n12</t>
  </si>
  <si>
    <t>23-implausible-articulation-n12</t>
  </si>
  <si>
    <t>articulation</t>
    <phoneticPr fontId="3" type="noConversion"/>
  </si>
  <si>
    <t>2-plausible-articulation-n12</t>
  </si>
  <si>
    <t>3-plausible-nosecondary-n21</t>
  </si>
  <si>
    <t>5-implausible-nosecondary-n12</t>
  </si>
  <si>
    <t>7-implausible-articulation-n12</t>
  </si>
  <si>
    <t>9-plausible-articulation-n21</t>
  </si>
  <si>
    <t>12-plausible-nosecondary-n12</t>
  </si>
  <si>
    <t>14-implausible-nosecondary-n21</t>
  </si>
  <si>
    <t>16-implausible-articulation-n21</t>
  </si>
  <si>
    <t>18-plausible-articulation-n12</t>
  </si>
  <si>
    <t>20-plausible-nosecondary-n12</t>
  </si>
  <si>
    <t>22-implausible-nosecondary-n21</t>
  </si>
  <si>
    <t>24-implausible-articulation-n21</t>
  </si>
  <si>
    <t>plausible</t>
    <phoneticPr fontId="3" type="noConversion"/>
  </si>
  <si>
    <t>1-implausible-nosecondary-n12</t>
  </si>
  <si>
    <t>4-implausible-articulation-n21</t>
  </si>
  <si>
    <t>6-plausible-articulation-n12</t>
  </si>
  <si>
    <t>8-plausible-nosecondary-n12</t>
  </si>
  <si>
    <t>10-implausible-nosecondary-n21</t>
  </si>
  <si>
    <t>11-implausible-articulation-n12</t>
  </si>
  <si>
    <t>13-plausible-articulation-n21</t>
  </si>
  <si>
    <t>15-plausible-nosecondary-n21</t>
  </si>
  <si>
    <t>17-implausible-nosecondary-n12</t>
  </si>
  <si>
    <t>19-implausible-articulation-n12</t>
  </si>
  <si>
    <t>21-plausible-articulation-n21</t>
  </si>
  <si>
    <t>23-plausible-nosecondary-n21</t>
  </si>
  <si>
    <t>2-implausible-nosecondary-n21</t>
  </si>
  <si>
    <t>3-implausible-articulation-n12</t>
  </si>
  <si>
    <t>5-plausible-articulation-n21</t>
  </si>
  <si>
    <t>7-plausible-nosecondary-n21</t>
  </si>
  <si>
    <t>9-implausible-nosecondary-n12</t>
  </si>
  <si>
    <t>12-implausible-articulation-n21</t>
  </si>
  <si>
    <t>14-plausible-articulation-n12</t>
  </si>
  <si>
    <t>16-plausible-nosecondary-n12</t>
  </si>
  <si>
    <t>18-implausible-nosecondary-n21</t>
  </si>
  <si>
    <t>20-implausible-articulation-n21</t>
  </si>
  <si>
    <t>22-plausible-articulation-n12</t>
  </si>
  <si>
    <t>24-plausible-nosecondary-n12</t>
  </si>
  <si>
    <t>1-plausible-nosecondary-n12</t>
  </si>
  <si>
    <t>4-plausible-nosecondary-n21</t>
  </si>
  <si>
    <t>6-implausible-nosecondary-n12</t>
  </si>
  <si>
    <t>8-implausible-articulation-n12</t>
  </si>
  <si>
    <t>10-plausible-articulation-n21</t>
  </si>
  <si>
    <t>11-plausible-articulation-n12</t>
  </si>
  <si>
    <t>13-implausible-articulation-n21</t>
  </si>
  <si>
    <t>15-implausible-nosecondary-n21</t>
  </si>
  <si>
    <t>17-plausible-nosecondary-n12</t>
  </si>
  <si>
    <t>19-plausible-articulation-n12</t>
  </si>
  <si>
    <t>21-implausible-articulation-n21</t>
  </si>
  <si>
    <t>23-implausible-nosecondary-n21</t>
  </si>
  <si>
    <t>2-plausible-articulation-n21</t>
  </si>
  <si>
    <t>3-plausible-articulation-n12</t>
  </si>
  <si>
    <t>5-implausible-articulation-n21</t>
  </si>
  <si>
    <t>7-implausible-nosecondary-n21</t>
  </si>
  <si>
    <t>9-plausible-nosecondary-n12</t>
  </si>
  <si>
    <t>12-plausible-nosecondary-n21</t>
  </si>
  <si>
    <t>14-implausible-nosecondary-n12</t>
  </si>
  <si>
    <t>16-implausible-articulation-n12</t>
  </si>
  <si>
    <t>18-plausible-articulation-n21</t>
  </si>
  <si>
    <t>20-plausible-nosecondary-n21</t>
  </si>
  <si>
    <t>22-implausible-nosecondary-n12</t>
  </si>
  <si>
    <t>24-implausible-articulation-n12</t>
  </si>
  <si>
    <t>1-implausible-articulation-n21</t>
  </si>
  <si>
    <t>4-implausible-articulation-n12</t>
  </si>
  <si>
    <t>6-plausible-articulation-n21</t>
  </si>
  <si>
    <t>8-plausible-nosecondary-n21</t>
  </si>
  <si>
    <t>10-implausible-nosecondary-n12</t>
  </si>
  <si>
    <t>11-implausible-nosecondary-n21</t>
  </si>
  <si>
    <t>13-plausible-nosecondary-n12</t>
  </si>
  <si>
    <t>15-plausible-articulation-n12</t>
  </si>
  <si>
    <t>17-implausible-articulation-n21</t>
  </si>
  <si>
    <t>19-implausible-nosecondary-n21</t>
  </si>
  <si>
    <t>21-plausible-nosecondary-n12</t>
  </si>
  <si>
    <t>23-plausible-articulation-n12</t>
  </si>
  <si>
    <t>2-implausible-nosecondary-n12</t>
  </si>
  <si>
    <t>3-implausible-nosecondary-n21</t>
  </si>
  <si>
    <t>5-plausible-nosecondary-n12</t>
  </si>
  <si>
    <t>7-plausible-articulation-n12</t>
  </si>
  <si>
    <t>9-implausible-articulation-n21</t>
  </si>
  <si>
    <t>12-implausible-articulation-n12</t>
  </si>
  <si>
    <t>14-plausible-articulation-n21</t>
  </si>
  <si>
    <t>16-plausible-nosecondary-n21</t>
  </si>
  <si>
    <t>18-implausible-nosecondary-n12</t>
  </si>
  <si>
    <t>20-implausible-articulation-n12</t>
  </si>
  <si>
    <t>22-plausible-articulation-n21</t>
  </si>
  <si>
    <t>24-plausible-nosecondary-n21</t>
  </si>
  <si>
    <t>audio/110_r1.wav</t>
    <phoneticPr fontId="4"/>
  </si>
  <si>
    <t>audio/124_r1.wav</t>
    <phoneticPr fontId="4"/>
  </si>
  <si>
    <t>1-plausible-nosecondary-n21</t>
  </si>
  <si>
    <t>4-plausible-articulation-n12</t>
  </si>
  <si>
    <t>6-implausible-articulation-n21</t>
  </si>
  <si>
    <t>8-implausible-nosecondary-n21</t>
  </si>
  <si>
    <t>10-plausible-nosecondary-n12</t>
  </si>
  <si>
    <t>11-plausible-articulation-n21</t>
  </si>
  <si>
    <t>13-implausible-articulation-n12</t>
  </si>
  <si>
    <t>15-implausible-nosecondary-n12</t>
  </si>
  <si>
    <t>17-plausible-nosecondary-n21</t>
  </si>
  <si>
    <t>19-plausible-articulation-n21</t>
  </si>
  <si>
    <t>21-implausible-articulation-n12</t>
  </si>
  <si>
    <t>23-implausible-nosecondary-n12</t>
  </si>
  <si>
    <t>2-plausible-nosecondary-n12</t>
  </si>
  <si>
    <t>3-plausible-articulation-n21</t>
  </si>
  <si>
    <t>5-implausible-articulation-n12</t>
  </si>
  <si>
    <t>7-implausible-nosecondary-n12</t>
  </si>
  <si>
    <t>9-plausible-nosecondary-n21</t>
  </si>
  <si>
    <t>12-plausible-articulation-n12</t>
  </si>
  <si>
    <t>14-implausible-articulation-n21</t>
  </si>
  <si>
    <t>16-implausible-nosecondary-n21</t>
  </si>
  <si>
    <t>18-plausible-nosecondary-n12</t>
  </si>
  <si>
    <t>20-plausible-articulation-n12</t>
  </si>
  <si>
    <t>22-implausible-articulation-n21</t>
  </si>
  <si>
    <t>24-implausible-nosecondary-n21</t>
  </si>
  <si>
    <t>1-implausible-articulation-n12</t>
  </si>
  <si>
    <t>4-implausible-nosecondary-n21</t>
  </si>
  <si>
    <t>6-plausible-nosecondary-n12</t>
  </si>
  <si>
    <t>8-plausible-articulation-n12</t>
  </si>
  <si>
    <t>10-implausible-articulation-n21</t>
  </si>
  <si>
    <t>11-implausible-nosecondary-n12</t>
  </si>
  <si>
    <t>13-plausible-nosecondary-n21</t>
  </si>
  <si>
    <t>15-plausible-articulation-n21</t>
  </si>
  <si>
    <t>17-implausible-articulation-n12</t>
  </si>
  <si>
    <t>19-implausible-nosecondary-n12</t>
  </si>
  <si>
    <t>21-plausible-nosecondary-n21</t>
  </si>
  <si>
    <t>23-plausible-articulation-n21</t>
  </si>
  <si>
    <t>2-implausible-articulation-n21</t>
  </si>
  <si>
    <t>3-implausible-nosecondary-n12</t>
  </si>
  <si>
    <t>5-plausible-nosecondary-n21</t>
  </si>
  <si>
    <t>7-plausible-articulation-n21</t>
  </si>
  <si>
    <t>9-implausible-articulation-n12</t>
  </si>
  <si>
    <t>12-implausible-nosecondary-n21</t>
  </si>
  <si>
    <t>14-plausible-nosecondary-n12</t>
  </si>
  <si>
    <t>16-plausible-articulation-n12</t>
  </si>
  <si>
    <t>18-implausible-articulation-n21</t>
  </si>
  <si>
    <t>20-implausible-nosecondary-n21</t>
  </si>
  <si>
    <t>22-plausible-nosecondary-n12</t>
  </si>
  <si>
    <t>24-plausible-articulation-n12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</si>
</sst>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_);[Red]\(0.000\)"/>
  </numFmts>
  <fonts count="6" x14ac:knownFonts="1">
    <font>
      <sz val="12"/>
      <color theme="1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"/>
      <family val="3"/>
      <charset val="128"/>
      <scheme val="minor"/>
    </font>
    <font>
      <sz val="8"/>
      <name val="Aptos Narrow"/>
      <family val="2"/>
      <scheme val="minor"/>
    </font>
    <font>
      <sz val="6"/>
      <name val="Aptos Narrow"/>
      <family val="3"/>
      <charset val="128"/>
      <scheme val="minor"/>
    </font>
    <font>
      <sz val="12"/>
      <name val="Aptos Narrow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5" fillId="0" borderId="0" xfId="0" applyFont="1"/>
    <xf numFmtId="0" fontId="0" fillId="0" borderId="1" xfId="0" applyBorder="1"/>
    <xf numFmtId="0" fontId="0" fillId="0" borderId="2" xfId="0" applyBorder="1"/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29">
    <dxf>
      <numFmt numFmtId="0" formatCode="General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  <numFmt numFmtId="164" formatCode="0.000_);[Red]\(0.0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  <numFmt numFmtId="164" formatCode="0.000_);[Red]\(0.000\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游ゴシック"/>
        <family val="3"/>
        <charset val="12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D8C5B4-0E2B-4DB2-BCB9-0149D5949149}" name="テーブル1" displayName="テーブル1" ref="A1:S49" totalsRowShown="0" headerRowDxfId="28" dataDxfId="27">
  <sortState xmlns:xlrd2="http://schemas.microsoft.com/office/spreadsheetml/2017/richdata2" ref="A2:S49">
    <sortCondition ref="L1:L49"/>
  </sortState>
  <tableColumns count="19">
    <tableColumn id="1" xr3:uid="{9EA840C9-692E-4748-9707-7777A6CEEBB5}" name="item" dataDxfId="26"/>
    <tableColumn id="17" xr3:uid="{8A51F6E2-F0DC-475D-BAD7-2DB543BD737B}" name="plausibility" dataDxfId="25"/>
    <tableColumn id="18" xr3:uid="{55AB4692-9C92-4359-97E1-1A91D5741533}" name="task" dataDxfId="24"/>
    <tableColumn id="19" xr3:uid="{090344AD-8B4B-4762-8D5D-7117601E8DAB}" name="n12" dataDxfId="23"/>
    <tableColumn id="20" xr3:uid="{FE3BC6F1-1683-43AD-9A14-CBED578CF2AA}" name="ID" dataDxfId="22">
      <calculatedColumnFormula>テーブル1[[#This Row],[item]] &amp; "-" &amp; テーブル1[[#This Row],[plausibility]] &amp; "-" &amp; テーブル1[[#This Row],[task]]</calculatedColumnFormula>
    </tableColumn>
    <tableColumn id="3" xr3:uid="{20D91C42-2D46-41A3-BFAD-4985536AF747}" name="r1" dataDxfId="21"/>
    <tableColumn id="4" xr3:uid="{CADA84CA-F3BA-4EAC-B862-BEAB31A91765}" name="r2" dataDxfId="20"/>
    <tableColumn id="5" xr3:uid="{9E445586-6347-43CA-9233-D9CE3652C84B}" name="question" dataDxfId="19"/>
    <tableColumn id="6" xr3:uid="{18F4F977-43CA-4F38-B7C3-CE91F169277C}" name="c1" dataDxfId="18"/>
    <tableColumn id="7" xr3:uid="{A56DDDE8-28C6-4DA9-A89A-5DB772D87656}" name="c2" dataDxfId="17"/>
    <tableColumn id="8" xr3:uid="{CC3D90D4-C474-4ABC-9553-83A1A60B9681}" name="is_correct" dataDxfId="16"/>
    <tableColumn id="9" xr3:uid="{C931148A-AC2E-4E01-9720-ABDCA3BB4D9E}" name="session" dataDxfId="15"/>
    <tableColumn id="10" xr3:uid="{7C6C0D95-7DFB-4773-ABEC-1ABFFB5A28CC}" name="r1_mora" dataDxfId="14"/>
    <tableColumn id="11" xr3:uid="{EAEBF0F4-CC9D-4C6A-B50F-2F609F3DE71E}" name="r2_mora" dataDxfId="13"/>
    <tableColumn id="12" xr3:uid="{E758A509-3F23-484D-80BC-C9EA37084596}" name="sentence_mora" dataDxfId="12">
      <calculatedColumnFormula>M2+N2</calculatedColumnFormula>
    </tableColumn>
    <tableColumn id="13" xr3:uid="{3946D944-A584-450F-8628-14771E962938}" name="duration_r1" dataDxfId="11"/>
    <tableColumn id="14" xr3:uid="{313C2E50-052F-405D-ACCC-4B1F0B375344}" name="duration_r2" dataDxfId="10"/>
    <tableColumn id="15" xr3:uid="{1361347D-54A0-4F60-A9D9-DA25578CA3A0}" name="sound_r1_url" dataDxfId="9">
      <calculatedColumnFormula>"audio/" &amp; $A2 &amp; "_r1.wav"</calculatedColumnFormula>
    </tableColumn>
    <tableColumn id="16" xr3:uid="{CB7A2763-A3E2-4D95-997C-3FF4237761DE}" name="sound_r2_url" dataDxfId="8">
      <calculatedColumnFormula>"audio/" &amp; $A2 &amp; "_r2.wav"</calculatedColumnFormula>
    </tableColumn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CFF6BB-F912-2A42-9F1F-3C9CDB1A5A17}" name="Table2" displayName="Table2" ref="A1:H193" totalsRowShown="0" dataDxfId="7" tableBorderDxfId="6">
  <sortState xmlns:xlrd2="http://schemas.microsoft.com/office/spreadsheetml/2017/richdata2" ref="A2:H193">
    <sortCondition ref="B1:B193"/>
  </sortState>
  <tableColumns count="8">
    <tableColumn id="1" xr3:uid="{99324C55-4F3F-8B44-BA27-FCEBA1EDF811}" name="list" dataDxfId="5"/>
    <tableColumn id="2" xr3:uid="{78EE2D36-35D0-2740-BCC8-03467A726D0B}" name="new_list" dataDxfId="4"/>
    <tableColumn id="3" xr3:uid="{6FC5A9D6-9E36-434F-BF6A-278AAFFF1149}" name="session"/>
    <tableColumn id="4" xr3:uid="{65E149F5-5774-E94E-9FC2-012190C1C459}" name="item"/>
    <tableColumn id="5" xr3:uid="{90EC2CE2-919E-6C4E-B915-CB2A77AD0630}" name="plausibility" dataDxfId="3"/>
    <tableColumn id="6" xr3:uid="{3303E331-E00D-D04B-9320-22BE4EE46209}" name="task" dataDxfId="2"/>
    <tableColumn id="7" xr3:uid="{4A59C892-9377-A346-BE2C-1005FE04ACBA}" name="n12" dataDxfId="1"/>
    <tableColumn id="8" xr3:uid="{4D506025-E91C-EE4A-801D-D3D56C8BDF25}" name="ID" dataDxfId="0">
      <calculatedColumnFormula>Table2[[#This Row],[item]] &amp; "-" &amp; Table2[[#This Row],[plausibility]] &amp; "-" &amp; Table2[[#This Row],[task]] &amp; "-" &amp; Table2[[#This Row],[n12]]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C929E-BB3F-2849-96CF-CDFDA8E32256}">
  <dimension ref="A1:Q29"/>
  <sheetViews>
    <sheetView zoomScale="90" zoomScaleNormal="90" workbookViewId="0">
      <selection activeCell="B25" sqref="B25"/>
    </sheetView>
  </sheetViews>
  <sheetFormatPr baseColWidth="10" defaultColWidth="10.6640625" defaultRowHeight="16" x14ac:dyDescent="0.2"/>
  <cols>
    <col min="2" max="2" width="16" customWidth="1"/>
    <col min="3" max="3" width="5.83203125" customWidth="1"/>
    <col min="4" max="4" width="17" customWidth="1"/>
    <col min="5" max="5" width="5" customWidth="1"/>
    <col min="6" max="6" width="16.6640625" customWidth="1"/>
    <col min="7" max="7" width="18" customWidth="1"/>
    <col min="8" max="8" width="20.5" customWidth="1"/>
    <col min="9" max="9" width="8.5" customWidth="1"/>
    <col min="17" max="17" width="16.33203125" customWidth="1"/>
  </cols>
  <sheetData>
    <row r="1" spans="1:17" x14ac:dyDescent="0.2">
      <c r="A1" s="4" t="s">
        <v>76</v>
      </c>
      <c r="B1" s="4" t="s">
        <v>77</v>
      </c>
      <c r="C1" s="4" t="s">
        <v>74</v>
      </c>
      <c r="D1" s="4" t="s">
        <v>78</v>
      </c>
      <c r="E1" s="4" t="s">
        <v>75</v>
      </c>
      <c r="F1" s="4" t="s">
        <v>125</v>
      </c>
      <c r="G1" s="4" t="s">
        <v>106</v>
      </c>
      <c r="H1" s="4" t="s">
        <v>81</v>
      </c>
      <c r="I1" s="5" t="s">
        <v>115</v>
      </c>
      <c r="J1" s="4" t="s">
        <v>107</v>
      </c>
      <c r="K1" s="4" t="s">
        <v>112</v>
      </c>
      <c r="L1" s="4" t="s">
        <v>113</v>
      </c>
      <c r="M1" s="4" t="s">
        <v>128</v>
      </c>
      <c r="N1" s="5" t="s">
        <v>148</v>
      </c>
      <c r="O1" s="5" t="s">
        <v>149</v>
      </c>
      <c r="P1" s="5" t="s">
        <v>150</v>
      </c>
      <c r="Q1" s="4" t="s">
        <v>114</v>
      </c>
    </row>
    <row r="2" spans="1:17" x14ac:dyDescent="0.2">
      <c r="A2" s="3">
        <v>1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126</v>
      </c>
      <c r="G2" s="3" t="s">
        <v>4</v>
      </c>
      <c r="H2" s="3" t="s">
        <v>82</v>
      </c>
      <c r="I2" s="3" t="s">
        <v>116</v>
      </c>
      <c r="J2">
        <v>4</v>
      </c>
      <c r="K2">
        <v>4</v>
      </c>
      <c r="L2">
        <v>7</v>
      </c>
      <c r="M2">
        <v>4</v>
      </c>
      <c r="N2">
        <v>3</v>
      </c>
      <c r="O2">
        <f>J2+K2+2</f>
        <v>10</v>
      </c>
      <c r="P2">
        <f>L2+M2+N2</f>
        <v>14</v>
      </c>
      <c r="Q2">
        <f>O2+P2</f>
        <v>24</v>
      </c>
    </row>
    <row r="3" spans="1:17" x14ac:dyDescent="0.2">
      <c r="A3" s="3">
        <v>2</v>
      </c>
      <c r="B3" s="3" t="s">
        <v>5</v>
      </c>
      <c r="C3" s="3" t="s">
        <v>1</v>
      </c>
      <c r="D3" s="3" t="s">
        <v>8</v>
      </c>
      <c r="E3" s="3" t="s">
        <v>3</v>
      </c>
      <c r="F3" s="3" t="s">
        <v>127</v>
      </c>
      <c r="G3" s="3" t="s">
        <v>52</v>
      </c>
      <c r="H3" s="3" t="s">
        <v>83</v>
      </c>
      <c r="I3" s="3" t="s">
        <v>145</v>
      </c>
      <c r="J3">
        <v>4</v>
      </c>
      <c r="K3">
        <v>5</v>
      </c>
      <c r="L3">
        <v>5</v>
      </c>
      <c r="M3">
        <v>4</v>
      </c>
      <c r="N3">
        <v>3</v>
      </c>
      <c r="O3">
        <f t="shared" ref="O3:O25" si="0">J3+K3+2</f>
        <v>11</v>
      </c>
      <c r="P3">
        <f t="shared" ref="P3:P25" si="1">L3+M3+N3</f>
        <v>12</v>
      </c>
      <c r="Q3">
        <f t="shared" ref="Q3:Q25" si="2">O3+P3</f>
        <v>23</v>
      </c>
    </row>
    <row r="4" spans="1:17" x14ac:dyDescent="0.2">
      <c r="A4" s="3">
        <v>3</v>
      </c>
      <c r="B4" s="3" t="s">
        <v>7</v>
      </c>
      <c r="C4" s="3" t="s">
        <v>1</v>
      </c>
      <c r="D4" s="3" t="s">
        <v>6</v>
      </c>
      <c r="E4" s="3" t="s">
        <v>3</v>
      </c>
      <c r="F4" s="3" t="s">
        <v>129</v>
      </c>
      <c r="G4" s="3" t="s">
        <v>9</v>
      </c>
      <c r="H4" s="3" t="s">
        <v>84</v>
      </c>
      <c r="I4" s="3" t="s">
        <v>117</v>
      </c>
      <c r="J4">
        <v>4</v>
      </c>
      <c r="K4">
        <v>3</v>
      </c>
      <c r="L4">
        <v>7</v>
      </c>
      <c r="M4">
        <v>3</v>
      </c>
      <c r="N4">
        <v>3</v>
      </c>
      <c r="O4">
        <f t="shared" si="0"/>
        <v>9</v>
      </c>
      <c r="P4">
        <f t="shared" si="1"/>
        <v>13</v>
      </c>
      <c r="Q4">
        <f t="shared" si="2"/>
        <v>22</v>
      </c>
    </row>
    <row r="5" spans="1:17" x14ac:dyDescent="0.2">
      <c r="A5" s="3">
        <v>4</v>
      </c>
      <c r="B5" s="3" t="s">
        <v>53</v>
      </c>
      <c r="C5" s="3" t="s">
        <v>1</v>
      </c>
      <c r="D5" s="3" t="s">
        <v>10</v>
      </c>
      <c r="E5" s="3" t="s">
        <v>3</v>
      </c>
      <c r="F5" s="3" t="s">
        <v>135</v>
      </c>
      <c r="G5" s="3" t="s">
        <v>11</v>
      </c>
      <c r="H5" s="3" t="s">
        <v>85</v>
      </c>
      <c r="I5" s="3" t="s">
        <v>118</v>
      </c>
      <c r="J5">
        <v>3</v>
      </c>
      <c r="K5">
        <v>3</v>
      </c>
      <c r="L5">
        <v>7</v>
      </c>
      <c r="M5">
        <v>6</v>
      </c>
      <c r="N5">
        <v>4</v>
      </c>
      <c r="O5">
        <f t="shared" si="0"/>
        <v>8</v>
      </c>
      <c r="P5">
        <f t="shared" si="1"/>
        <v>17</v>
      </c>
      <c r="Q5">
        <f t="shared" si="2"/>
        <v>25</v>
      </c>
    </row>
    <row r="6" spans="1:17" x14ac:dyDescent="0.2">
      <c r="A6" s="3">
        <v>5</v>
      </c>
      <c r="B6" s="3" t="s">
        <v>12</v>
      </c>
      <c r="C6" s="3" t="s">
        <v>1</v>
      </c>
      <c r="D6" s="3" t="s">
        <v>13</v>
      </c>
      <c r="E6" s="3" t="s">
        <v>3</v>
      </c>
      <c r="F6" s="3" t="s">
        <v>126</v>
      </c>
      <c r="G6" s="3" t="s">
        <v>14</v>
      </c>
      <c r="H6" s="3" t="s">
        <v>86</v>
      </c>
      <c r="I6" s="3" t="s">
        <v>117</v>
      </c>
      <c r="J6">
        <v>4</v>
      </c>
      <c r="K6">
        <v>4</v>
      </c>
      <c r="L6">
        <v>6</v>
      </c>
      <c r="M6">
        <v>4</v>
      </c>
      <c r="N6">
        <v>3</v>
      </c>
      <c r="O6">
        <f t="shared" si="0"/>
        <v>10</v>
      </c>
      <c r="P6">
        <f t="shared" si="1"/>
        <v>13</v>
      </c>
      <c r="Q6">
        <f t="shared" si="2"/>
        <v>23</v>
      </c>
    </row>
    <row r="7" spans="1:17" x14ac:dyDescent="0.2">
      <c r="A7" s="3">
        <v>6</v>
      </c>
      <c r="B7" s="3" t="s">
        <v>15</v>
      </c>
      <c r="C7" s="3" t="s">
        <v>1</v>
      </c>
      <c r="D7" s="3" t="s">
        <v>16</v>
      </c>
      <c r="E7" s="3" t="s">
        <v>3</v>
      </c>
      <c r="F7" s="3" t="s">
        <v>131</v>
      </c>
      <c r="G7" s="3" t="s">
        <v>17</v>
      </c>
      <c r="H7" s="3" t="s">
        <v>87</v>
      </c>
      <c r="I7" s="3" t="s">
        <v>116</v>
      </c>
      <c r="J7">
        <v>6</v>
      </c>
      <c r="K7">
        <v>4</v>
      </c>
      <c r="L7">
        <v>7</v>
      </c>
      <c r="M7">
        <v>3</v>
      </c>
      <c r="N7">
        <v>3</v>
      </c>
      <c r="O7">
        <f t="shared" si="0"/>
        <v>12</v>
      </c>
      <c r="P7">
        <f t="shared" si="1"/>
        <v>13</v>
      </c>
      <c r="Q7">
        <f t="shared" si="2"/>
        <v>25</v>
      </c>
    </row>
    <row r="8" spans="1:17" x14ac:dyDescent="0.2">
      <c r="A8" s="3">
        <v>7</v>
      </c>
      <c r="B8" s="3" t="s">
        <v>22</v>
      </c>
      <c r="C8" s="3" t="s">
        <v>1</v>
      </c>
      <c r="D8" s="3" t="s">
        <v>20</v>
      </c>
      <c r="E8" s="3" t="s">
        <v>3</v>
      </c>
      <c r="F8" s="3" t="s">
        <v>131</v>
      </c>
      <c r="G8" s="3" t="s">
        <v>21</v>
      </c>
      <c r="H8" s="3" t="s">
        <v>88</v>
      </c>
      <c r="I8" s="3" t="s">
        <v>116</v>
      </c>
      <c r="J8">
        <v>6</v>
      </c>
      <c r="K8">
        <v>4</v>
      </c>
      <c r="L8">
        <v>8</v>
      </c>
      <c r="M8">
        <v>3</v>
      </c>
      <c r="N8">
        <v>3</v>
      </c>
      <c r="O8">
        <f t="shared" si="0"/>
        <v>12</v>
      </c>
      <c r="P8">
        <f t="shared" si="1"/>
        <v>14</v>
      </c>
      <c r="Q8">
        <f t="shared" si="2"/>
        <v>26</v>
      </c>
    </row>
    <row r="9" spans="1:17" x14ac:dyDescent="0.2">
      <c r="A9" s="3">
        <v>8</v>
      </c>
      <c r="B9" s="3" t="s">
        <v>23</v>
      </c>
      <c r="C9" s="3" t="s">
        <v>1</v>
      </c>
      <c r="D9" s="3" t="s">
        <v>18</v>
      </c>
      <c r="E9" s="3" t="s">
        <v>3</v>
      </c>
      <c r="F9" s="3" t="s">
        <v>139</v>
      </c>
      <c r="G9" s="3" t="s">
        <v>19</v>
      </c>
      <c r="H9" s="3" t="s">
        <v>89</v>
      </c>
      <c r="I9" s="3" t="s">
        <v>116</v>
      </c>
      <c r="J9">
        <v>5</v>
      </c>
      <c r="K9">
        <v>4</v>
      </c>
      <c r="L9">
        <v>7</v>
      </c>
      <c r="M9">
        <v>4</v>
      </c>
      <c r="N9">
        <v>3</v>
      </c>
      <c r="O9">
        <f t="shared" si="0"/>
        <v>11</v>
      </c>
      <c r="P9">
        <f t="shared" si="1"/>
        <v>14</v>
      </c>
      <c r="Q9">
        <f t="shared" si="2"/>
        <v>25</v>
      </c>
    </row>
    <row r="10" spans="1:17" x14ac:dyDescent="0.2">
      <c r="A10" s="3">
        <v>9</v>
      </c>
      <c r="B10" s="3" t="s">
        <v>59</v>
      </c>
      <c r="C10" s="3" t="s">
        <v>1</v>
      </c>
      <c r="D10" s="3" t="s">
        <v>60</v>
      </c>
      <c r="E10" s="3" t="s">
        <v>3</v>
      </c>
      <c r="F10" s="3" t="s">
        <v>132</v>
      </c>
      <c r="G10" s="3" t="s">
        <v>61</v>
      </c>
      <c r="H10" s="3" t="s">
        <v>90</v>
      </c>
      <c r="I10" s="3" t="s">
        <v>118</v>
      </c>
      <c r="J10">
        <v>3</v>
      </c>
      <c r="K10">
        <v>4</v>
      </c>
      <c r="L10">
        <v>5</v>
      </c>
      <c r="M10">
        <v>4</v>
      </c>
      <c r="N10">
        <v>4</v>
      </c>
      <c r="O10">
        <f t="shared" si="0"/>
        <v>9</v>
      </c>
      <c r="P10">
        <f t="shared" si="1"/>
        <v>13</v>
      </c>
      <c r="Q10">
        <f t="shared" si="2"/>
        <v>22</v>
      </c>
    </row>
    <row r="11" spans="1:17" x14ac:dyDescent="0.2">
      <c r="A11" s="3">
        <v>10</v>
      </c>
      <c r="B11" s="3" t="s">
        <v>26</v>
      </c>
      <c r="C11" s="3" t="s">
        <v>1</v>
      </c>
      <c r="D11" s="3" t="s">
        <v>24</v>
      </c>
      <c r="E11" s="3" t="s">
        <v>3</v>
      </c>
      <c r="F11" s="3" t="s">
        <v>133</v>
      </c>
      <c r="G11" s="3" t="s">
        <v>25</v>
      </c>
      <c r="H11" s="3" t="s">
        <v>91</v>
      </c>
      <c r="I11" s="3" t="s">
        <v>116</v>
      </c>
      <c r="J11">
        <v>4</v>
      </c>
      <c r="K11">
        <v>5</v>
      </c>
      <c r="L11">
        <v>7</v>
      </c>
      <c r="M11">
        <v>5</v>
      </c>
      <c r="N11">
        <v>3</v>
      </c>
      <c r="O11">
        <f t="shared" si="0"/>
        <v>11</v>
      </c>
      <c r="P11">
        <f t="shared" si="1"/>
        <v>15</v>
      </c>
      <c r="Q11">
        <f t="shared" si="2"/>
        <v>26</v>
      </c>
    </row>
    <row r="12" spans="1:17" x14ac:dyDescent="0.2">
      <c r="A12" s="3">
        <v>11</v>
      </c>
      <c r="B12" s="3" t="s">
        <v>27</v>
      </c>
      <c r="C12" s="3" t="s">
        <v>1</v>
      </c>
      <c r="D12" s="3" t="s">
        <v>28</v>
      </c>
      <c r="E12" s="3" t="s">
        <v>3</v>
      </c>
      <c r="F12" s="3" t="s">
        <v>133</v>
      </c>
      <c r="G12" s="3" t="s">
        <v>30</v>
      </c>
      <c r="H12" s="3" t="s">
        <v>92</v>
      </c>
      <c r="I12" s="3" t="s">
        <v>118</v>
      </c>
      <c r="J12">
        <v>3</v>
      </c>
      <c r="K12">
        <v>3</v>
      </c>
      <c r="L12">
        <v>6</v>
      </c>
      <c r="M12">
        <v>5</v>
      </c>
      <c r="N12">
        <v>4</v>
      </c>
      <c r="O12">
        <f t="shared" si="0"/>
        <v>8</v>
      </c>
      <c r="P12">
        <f t="shared" si="1"/>
        <v>15</v>
      </c>
      <c r="Q12">
        <f t="shared" si="2"/>
        <v>23</v>
      </c>
    </row>
    <row r="13" spans="1:17" x14ac:dyDescent="0.2">
      <c r="A13" s="3">
        <v>12</v>
      </c>
      <c r="B13" s="3" t="s">
        <v>32</v>
      </c>
      <c r="C13" s="3" t="s">
        <v>1</v>
      </c>
      <c r="D13" s="3" t="s">
        <v>33</v>
      </c>
      <c r="E13" s="3" t="s">
        <v>3</v>
      </c>
      <c r="F13" s="3" t="s">
        <v>127</v>
      </c>
      <c r="G13" s="3" t="s">
        <v>29</v>
      </c>
      <c r="H13" s="3" t="s">
        <v>93</v>
      </c>
      <c r="I13" s="3" t="s">
        <v>146</v>
      </c>
      <c r="J13">
        <v>4</v>
      </c>
      <c r="K13">
        <v>6</v>
      </c>
      <c r="L13">
        <v>5</v>
      </c>
      <c r="M13">
        <v>4</v>
      </c>
      <c r="N13">
        <v>3</v>
      </c>
      <c r="O13">
        <f t="shared" si="0"/>
        <v>12</v>
      </c>
      <c r="P13">
        <f t="shared" si="1"/>
        <v>12</v>
      </c>
      <c r="Q13">
        <f t="shared" si="2"/>
        <v>24</v>
      </c>
    </row>
    <row r="14" spans="1:17" x14ac:dyDescent="0.2">
      <c r="A14" s="3">
        <v>13</v>
      </c>
      <c r="B14" s="3" t="s">
        <v>35</v>
      </c>
      <c r="C14" s="3" t="s">
        <v>1</v>
      </c>
      <c r="D14" s="3" t="s">
        <v>36</v>
      </c>
      <c r="E14" s="3" t="s">
        <v>3</v>
      </c>
      <c r="F14" s="3" t="s">
        <v>134</v>
      </c>
      <c r="G14" s="3" t="s">
        <v>34</v>
      </c>
      <c r="H14" s="3" t="s">
        <v>94</v>
      </c>
      <c r="I14" s="3" t="s">
        <v>117</v>
      </c>
      <c r="J14">
        <v>3</v>
      </c>
      <c r="K14">
        <v>6</v>
      </c>
      <c r="L14">
        <v>5</v>
      </c>
      <c r="M14">
        <v>5</v>
      </c>
      <c r="N14">
        <v>3</v>
      </c>
      <c r="O14">
        <f t="shared" si="0"/>
        <v>11</v>
      </c>
      <c r="P14">
        <f t="shared" si="1"/>
        <v>13</v>
      </c>
      <c r="Q14">
        <f t="shared" si="2"/>
        <v>24</v>
      </c>
    </row>
    <row r="15" spans="1:17" x14ac:dyDescent="0.2">
      <c r="A15" s="3">
        <v>14</v>
      </c>
      <c r="B15" s="3" t="s">
        <v>54</v>
      </c>
      <c r="C15" s="3" t="s">
        <v>1</v>
      </c>
      <c r="D15" s="3" t="s">
        <v>55</v>
      </c>
      <c r="E15" s="3" t="s">
        <v>3</v>
      </c>
      <c r="F15" s="3" t="s">
        <v>130</v>
      </c>
      <c r="G15" s="3" t="s">
        <v>31</v>
      </c>
      <c r="H15" s="3" t="s">
        <v>95</v>
      </c>
      <c r="I15" s="3" t="s">
        <v>117</v>
      </c>
      <c r="J15">
        <v>3</v>
      </c>
      <c r="K15">
        <v>4</v>
      </c>
      <c r="L15">
        <v>6</v>
      </c>
      <c r="M15">
        <v>5</v>
      </c>
      <c r="N15">
        <v>3</v>
      </c>
      <c r="O15">
        <f t="shared" si="0"/>
        <v>9</v>
      </c>
      <c r="P15">
        <f t="shared" si="1"/>
        <v>14</v>
      </c>
      <c r="Q15">
        <f t="shared" si="2"/>
        <v>23</v>
      </c>
    </row>
    <row r="16" spans="1:17" x14ac:dyDescent="0.2">
      <c r="A16" s="3">
        <v>15</v>
      </c>
      <c r="B16" s="3" t="s">
        <v>57</v>
      </c>
      <c r="C16" s="3" t="s">
        <v>1</v>
      </c>
      <c r="D16" s="3" t="s">
        <v>58</v>
      </c>
      <c r="E16" s="3" t="s">
        <v>3</v>
      </c>
      <c r="F16" s="3" t="s">
        <v>136</v>
      </c>
      <c r="G16" s="3" t="s">
        <v>56</v>
      </c>
      <c r="H16" s="3" t="s">
        <v>96</v>
      </c>
      <c r="I16" s="3" t="s">
        <v>118</v>
      </c>
      <c r="J16">
        <v>3</v>
      </c>
      <c r="K16">
        <v>2</v>
      </c>
      <c r="L16">
        <v>6</v>
      </c>
      <c r="M16">
        <v>7</v>
      </c>
      <c r="N16">
        <v>4</v>
      </c>
      <c r="O16">
        <f t="shared" si="0"/>
        <v>7</v>
      </c>
      <c r="P16">
        <f t="shared" si="1"/>
        <v>17</v>
      </c>
      <c r="Q16">
        <f t="shared" si="2"/>
        <v>24</v>
      </c>
    </row>
    <row r="17" spans="1:17" x14ac:dyDescent="0.2">
      <c r="A17" s="3">
        <v>16</v>
      </c>
      <c r="B17" s="3" t="s">
        <v>49</v>
      </c>
      <c r="C17" s="3" t="s">
        <v>1</v>
      </c>
      <c r="D17" s="3" t="s">
        <v>50</v>
      </c>
      <c r="E17" s="3" t="s">
        <v>3</v>
      </c>
      <c r="F17" s="3" t="s">
        <v>144</v>
      </c>
      <c r="G17" s="3" t="s">
        <v>51</v>
      </c>
      <c r="H17" s="3" t="s">
        <v>97</v>
      </c>
      <c r="I17" s="3" t="s">
        <v>117</v>
      </c>
      <c r="J17">
        <v>2</v>
      </c>
      <c r="K17">
        <v>3</v>
      </c>
      <c r="L17">
        <v>7</v>
      </c>
      <c r="M17">
        <v>3</v>
      </c>
      <c r="N17">
        <v>3</v>
      </c>
      <c r="O17">
        <f t="shared" si="0"/>
        <v>7</v>
      </c>
      <c r="P17">
        <f t="shared" si="1"/>
        <v>13</v>
      </c>
      <c r="Q17">
        <f t="shared" si="2"/>
        <v>20</v>
      </c>
    </row>
    <row r="18" spans="1:17" x14ac:dyDescent="0.2">
      <c r="A18" s="3">
        <v>17</v>
      </c>
      <c r="B18" s="3" t="s">
        <v>62</v>
      </c>
      <c r="C18" s="3" t="s">
        <v>1</v>
      </c>
      <c r="D18" s="3" t="s">
        <v>63</v>
      </c>
      <c r="E18" s="3" t="s">
        <v>3</v>
      </c>
      <c r="F18" s="3" t="s">
        <v>137</v>
      </c>
      <c r="G18" s="3" t="s">
        <v>64</v>
      </c>
      <c r="H18" s="3" t="s">
        <v>98</v>
      </c>
      <c r="I18" s="3" t="s">
        <v>118</v>
      </c>
      <c r="J18">
        <v>3</v>
      </c>
      <c r="K18">
        <v>2</v>
      </c>
      <c r="L18">
        <v>4</v>
      </c>
      <c r="M18">
        <v>5</v>
      </c>
      <c r="N18">
        <v>4</v>
      </c>
      <c r="O18">
        <f t="shared" si="0"/>
        <v>7</v>
      </c>
      <c r="P18">
        <f t="shared" si="1"/>
        <v>13</v>
      </c>
      <c r="Q18">
        <f t="shared" si="2"/>
        <v>20</v>
      </c>
    </row>
    <row r="19" spans="1:17" x14ac:dyDescent="0.2">
      <c r="A19" s="3">
        <v>18</v>
      </c>
      <c r="B19" s="3" t="s">
        <v>37</v>
      </c>
      <c r="C19" s="3" t="s">
        <v>1</v>
      </c>
      <c r="D19" s="3" t="s">
        <v>38</v>
      </c>
      <c r="E19" s="3" t="s">
        <v>3</v>
      </c>
      <c r="F19" s="3" t="s">
        <v>138</v>
      </c>
      <c r="G19" s="3" t="s">
        <v>39</v>
      </c>
      <c r="H19" s="3" t="s">
        <v>99</v>
      </c>
      <c r="I19" s="3" t="s">
        <v>118</v>
      </c>
      <c r="J19">
        <v>4</v>
      </c>
      <c r="K19">
        <v>4</v>
      </c>
      <c r="L19">
        <v>5</v>
      </c>
      <c r="M19">
        <v>7</v>
      </c>
      <c r="N19">
        <v>4</v>
      </c>
      <c r="O19">
        <f t="shared" si="0"/>
        <v>10</v>
      </c>
      <c r="P19">
        <f t="shared" si="1"/>
        <v>16</v>
      </c>
      <c r="Q19">
        <f t="shared" si="2"/>
        <v>26</v>
      </c>
    </row>
    <row r="20" spans="1:17" x14ac:dyDescent="0.2">
      <c r="A20" s="3">
        <v>19</v>
      </c>
      <c r="B20" s="3" t="s">
        <v>40</v>
      </c>
      <c r="C20" s="3" t="s">
        <v>1</v>
      </c>
      <c r="D20" s="3" t="s">
        <v>41</v>
      </c>
      <c r="E20" s="3" t="s">
        <v>3</v>
      </c>
      <c r="F20" s="3" t="s">
        <v>142</v>
      </c>
      <c r="G20" s="3" t="s">
        <v>42</v>
      </c>
      <c r="H20" s="3" t="s">
        <v>100</v>
      </c>
      <c r="I20" s="3" t="s">
        <v>116</v>
      </c>
      <c r="J20">
        <v>5</v>
      </c>
      <c r="K20">
        <v>5</v>
      </c>
      <c r="L20">
        <v>6</v>
      </c>
      <c r="M20">
        <v>5</v>
      </c>
      <c r="N20">
        <v>3</v>
      </c>
      <c r="O20">
        <f t="shared" si="0"/>
        <v>12</v>
      </c>
      <c r="P20">
        <f t="shared" si="1"/>
        <v>14</v>
      </c>
      <c r="Q20">
        <f t="shared" si="2"/>
        <v>26</v>
      </c>
    </row>
    <row r="21" spans="1:17" x14ac:dyDescent="0.2">
      <c r="A21" s="3">
        <v>20</v>
      </c>
      <c r="B21" s="3" t="s">
        <v>47</v>
      </c>
      <c r="C21" s="3" t="s">
        <v>1</v>
      </c>
      <c r="D21" s="3" t="s">
        <v>44</v>
      </c>
      <c r="E21" s="3" t="s">
        <v>3</v>
      </c>
      <c r="F21" s="3" t="s">
        <v>140</v>
      </c>
      <c r="G21" s="3" t="s">
        <v>43</v>
      </c>
      <c r="H21" s="3" t="s">
        <v>101</v>
      </c>
      <c r="I21" s="3" t="s">
        <v>147</v>
      </c>
      <c r="J21">
        <v>4</v>
      </c>
      <c r="K21">
        <v>5</v>
      </c>
      <c r="L21">
        <v>6</v>
      </c>
      <c r="M21">
        <v>4</v>
      </c>
      <c r="N21">
        <v>4</v>
      </c>
      <c r="O21">
        <f t="shared" si="0"/>
        <v>11</v>
      </c>
      <c r="P21">
        <f t="shared" si="1"/>
        <v>14</v>
      </c>
      <c r="Q21">
        <f t="shared" si="2"/>
        <v>25</v>
      </c>
    </row>
    <row r="22" spans="1:17" x14ac:dyDescent="0.2">
      <c r="A22" s="3">
        <v>21</v>
      </c>
      <c r="B22" s="3" t="s">
        <v>45</v>
      </c>
      <c r="C22" s="3" t="s">
        <v>1</v>
      </c>
      <c r="D22" s="3" t="s">
        <v>48</v>
      </c>
      <c r="E22" s="3" t="s">
        <v>3</v>
      </c>
      <c r="F22" s="3" t="s">
        <v>141</v>
      </c>
      <c r="G22" s="3" t="s">
        <v>46</v>
      </c>
      <c r="H22" s="3" t="s">
        <v>102</v>
      </c>
      <c r="I22" s="3" t="s">
        <v>117</v>
      </c>
      <c r="J22">
        <v>4</v>
      </c>
      <c r="K22">
        <v>5</v>
      </c>
      <c r="L22">
        <v>5</v>
      </c>
      <c r="M22">
        <v>5</v>
      </c>
      <c r="N22">
        <v>3</v>
      </c>
      <c r="O22">
        <f t="shared" si="0"/>
        <v>11</v>
      </c>
      <c r="P22">
        <f t="shared" si="1"/>
        <v>13</v>
      </c>
      <c r="Q22">
        <f t="shared" si="2"/>
        <v>24</v>
      </c>
    </row>
    <row r="23" spans="1:17" x14ac:dyDescent="0.2">
      <c r="A23" s="3">
        <v>22</v>
      </c>
      <c r="B23" s="3" t="s">
        <v>65</v>
      </c>
      <c r="C23" s="3" t="s">
        <v>1</v>
      </c>
      <c r="D23" s="3" t="s">
        <v>66</v>
      </c>
      <c r="E23" s="3" t="s">
        <v>3</v>
      </c>
      <c r="F23" s="3" t="s">
        <v>143</v>
      </c>
      <c r="G23" s="3" t="s">
        <v>67</v>
      </c>
      <c r="H23" s="3" t="s">
        <v>103</v>
      </c>
      <c r="I23" s="3" t="s">
        <v>145</v>
      </c>
      <c r="J23">
        <v>2</v>
      </c>
      <c r="K23">
        <v>6</v>
      </c>
      <c r="L23">
        <v>7</v>
      </c>
      <c r="M23">
        <v>4</v>
      </c>
      <c r="N23">
        <v>3</v>
      </c>
      <c r="O23">
        <f t="shared" si="0"/>
        <v>10</v>
      </c>
      <c r="P23">
        <f t="shared" si="1"/>
        <v>14</v>
      </c>
      <c r="Q23">
        <f t="shared" si="2"/>
        <v>24</v>
      </c>
    </row>
    <row r="24" spans="1:17" x14ac:dyDescent="0.2">
      <c r="A24" s="3">
        <v>23</v>
      </c>
      <c r="B24" s="3" t="s">
        <v>70</v>
      </c>
      <c r="C24" s="3" t="s">
        <v>1</v>
      </c>
      <c r="D24" s="3" t="s">
        <v>69</v>
      </c>
      <c r="E24" s="3" t="s">
        <v>3</v>
      </c>
      <c r="F24" s="3" t="s">
        <v>141</v>
      </c>
      <c r="G24" s="3" t="s">
        <v>68</v>
      </c>
      <c r="H24" s="3" t="s">
        <v>104</v>
      </c>
      <c r="I24" s="3" t="s">
        <v>146</v>
      </c>
      <c r="J24">
        <v>5</v>
      </c>
      <c r="K24">
        <v>3</v>
      </c>
      <c r="L24">
        <v>7</v>
      </c>
      <c r="M24">
        <v>5</v>
      </c>
      <c r="N24">
        <v>3</v>
      </c>
      <c r="O24">
        <f t="shared" si="0"/>
        <v>10</v>
      </c>
      <c r="P24">
        <f t="shared" si="1"/>
        <v>15</v>
      </c>
      <c r="Q24">
        <f t="shared" si="2"/>
        <v>25</v>
      </c>
    </row>
    <row r="25" spans="1:17" x14ac:dyDescent="0.2">
      <c r="A25" s="3">
        <v>24</v>
      </c>
      <c r="B25" s="3" t="s">
        <v>71</v>
      </c>
      <c r="C25" s="3" t="s">
        <v>1</v>
      </c>
      <c r="D25" s="3" t="s">
        <v>73</v>
      </c>
      <c r="E25" s="3" t="s">
        <v>3</v>
      </c>
      <c r="F25" s="3" t="s">
        <v>135</v>
      </c>
      <c r="G25" s="3" t="s">
        <v>72</v>
      </c>
      <c r="H25" s="3" t="s">
        <v>105</v>
      </c>
      <c r="I25" s="3" t="s">
        <v>117</v>
      </c>
      <c r="J25">
        <v>2</v>
      </c>
      <c r="K25">
        <v>4</v>
      </c>
      <c r="L25">
        <v>7</v>
      </c>
      <c r="M25">
        <v>6</v>
      </c>
      <c r="N25">
        <v>3</v>
      </c>
      <c r="O25">
        <f t="shared" si="0"/>
        <v>8</v>
      </c>
      <c r="P25">
        <f t="shared" si="1"/>
        <v>16</v>
      </c>
      <c r="Q25">
        <f t="shared" si="2"/>
        <v>24</v>
      </c>
    </row>
    <row r="26" spans="1:17" x14ac:dyDescent="0.2">
      <c r="H26" s="3" t="s">
        <v>108</v>
      </c>
      <c r="I26" s="3"/>
      <c r="J26">
        <f>AVERAGE(J$2:J$25)</f>
        <v>3.75</v>
      </c>
      <c r="K26" s="2">
        <f t="shared" ref="K26:Q26" si="3">AVERAGE(K$2:K$25)</f>
        <v>4.083333333333333</v>
      </c>
      <c r="L26" s="2">
        <f t="shared" si="3"/>
        <v>6.166666666666667</v>
      </c>
      <c r="M26" s="2">
        <f t="shared" si="3"/>
        <v>4.583333333333333</v>
      </c>
      <c r="N26" s="2">
        <f t="shared" si="3"/>
        <v>3.2916666666666665</v>
      </c>
      <c r="O26" s="2">
        <f t="shared" si="3"/>
        <v>9.8333333333333339</v>
      </c>
      <c r="P26" s="2">
        <f t="shared" si="3"/>
        <v>14.041666666666666</v>
      </c>
      <c r="Q26" s="2">
        <f t="shared" si="3"/>
        <v>23.875</v>
      </c>
    </row>
    <row r="27" spans="1:17" x14ac:dyDescent="0.2">
      <c r="H27" s="3" t="s">
        <v>109</v>
      </c>
      <c r="I27" s="3"/>
      <c r="J27" s="2">
        <f>STDEV(J$2:J$25)</f>
        <v>1.1131623577819225</v>
      </c>
      <c r="K27" s="2">
        <f t="shared" ref="K27:Q27" si="4">STDEV(K$2:K$25)</f>
        <v>1.1389036172018077</v>
      </c>
      <c r="L27" s="2">
        <f t="shared" si="4"/>
        <v>1.0072203103706705</v>
      </c>
      <c r="M27" s="2">
        <f t="shared" si="4"/>
        <v>1.1389036172018077</v>
      </c>
      <c r="N27" s="2">
        <f t="shared" si="4"/>
        <v>0.46430562148753562</v>
      </c>
      <c r="O27" s="2">
        <f t="shared" si="4"/>
        <v>1.6594044679962157</v>
      </c>
      <c r="P27" s="2">
        <f t="shared" si="4"/>
        <v>1.3981094896064243</v>
      </c>
      <c r="Q27" s="2">
        <f t="shared" si="4"/>
        <v>1.6762406177800526</v>
      </c>
    </row>
    <row r="28" spans="1:17" x14ac:dyDescent="0.2">
      <c r="H28" s="3" t="s">
        <v>110</v>
      </c>
      <c r="I28" s="3"/>
      <c r="J28" s="1">
        <f>MIN(J$2:J$25)</f>
        <v>2</v>
      </c>
      <c r="K28" s="1">
        <f t="shared" ref="K28:Q28" si="5">MIN(K$2:K$25)</f>
        <v>2</v>
      </c>
      <c r="L28" s="1">
        <f t="shared" si="5"/>
        <v>4</v>
      </c>
      <c r="M28" s="1">
        <f t="shared" si="5"/>
        <v>3</v>
      </c>
      <c r="N28" s="1">
        <f t="shared" si="5"/>
        <v>3</v>
      </c>
      <c r="O28" s="1">
        <f t="shared" si="5"/>
        <v>7</v>
      </c>
      <c r="P28" s="1">
        <f t="shared" si="5"/>
        <v>12</v>
      </c>
      <c r="Q28" s="1">
        <f t="shared" si="5"/>
        <v>20</v>
      </c>
    </row>
    <row r="29" spans="1:17" x14ac:dyDescent="0.2">
      <c r="H29" s="3" t="s">
        <v>111</v>
      </c>
      <c r="I29" s="3"/>
      <c r="J29" s="1">
        <f>MAX(J$2:J$25)</f>
        <v>6</v>
      </c>
      <c r="K29" s="1">
        <f t="shared" ref="K29:Q29" si="6">MAX(K$2:K$25)</f>
        <v>6</v>
      </c>
      <c r="L29" s="1">
        <f t="shared" si="6"/>
        <v>8</v>
      </c>
      <c r="M29" s="1">
        <f t="shared" si="6"/>
        <v>7</v>
      </c>
      <c r="N29" s="1">
        <f t="shared" si="6"/>
        <v>4</v>
      </c>
      <c r="O29" s="1">
        <f t="shared" si="6"/>
        <v>12</v>
      </c>
      <c r="P29" s="1">
        <f t="shared" si="6"/>
        <v>17</v>
      </c>
      <c r="Q29" s="1">
        <f t="shared" si="6"/>
        <v>26</v>
      </c>
    </row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3FFE-B223-3E44-A713-5103ED00FC14}">
  <dimension ref="A1:Q25"/>
  <sheetViews>
    <sheetView zoomScale="73" zoomScaleNormal="90" workbookViewId="0">
      <pane xSplit="1" topLeftCell="G1" activePane="topRight" state="frozen"/>
      <selection pane="topRight" activeCell="H25" sqref="H25:Q25"/>
    </sheetView>
  </sheetViews>
  <sheetFormatPr baseColWidth="10" defaultColWidth="10.6640625" defaultRowHeight="16" x14ac:dyDescent="0.2"/>
  <cols>
    <col min="2" max="2" width="17.83203125" customWidth="1"/>
    <col min="3" max="3" width="17.5" customWidth="1"/>
    <col min="4" max="4" width="16.6640625" customWidth="1"/>
    <col min="5" max="5" width="15.83203125" customWidth="1"/>
    <col min="6" max="6" width="20" customWidth="1"/>
    <col min="7" max="7" width="14.1640625" customWidth="1"/>
    <col min="8" max="8" width="27" customWidth="1"/>
    <col min="9" max="9" width="30.1640625" customWidth="1"/>
    <col min="10" max="10" width="30.6640625" customWidth="1"/>
    <col min="11" max="11" width="12.83203125" customWidth="1"/>
    <col min="12" max="12" width="14.1640625" customWidth="1"/>
    <col min="16" max="16" width="27.6640625" customWidth="1"/>
    <col min="17" max="17" width="27.1640625" customWidth="1"/>
  </cols>
  <sheetData>
    <row r="1" spans="1:17" x14ac:dyDescent="0.2">
      <c r="A1" t="s">
        <v>76</v>
      </c>
      <c r="B1" t="s">
        <v>77</v>
      </c>
      <c r="C1" t="s">
        <v>78</v>
      </c>
      <c r="D1" s="4" t="s">
        <v>125</v>
      </c>
      <c r="E1" t="s">
        <v>106</v>
      </c>
      <c r="F1" t="s">
        <v>81</v>
      </c>
      <c r="G1" t="s">
        <v>115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369</v>
      </c>
      <c r="O1" t="s">
        <v>370</v>
      </c>
      <c r="P1" t="s">
        <v>371</v>
      </c>
      <c r="Q1" t="s">
        <v>372</v>
      </c>
    </row>
    <row r="2" spans="1:17" x14ac:dyDescent="0.2">
      <c r="A2" s="3">
        <v>1</v>
      </c>
      <c r="B2" s="3" t="s">
        <v>0</v>
      </c>
      <c r="C2" s="3" t="s">
        <v>2</v>
      </c>
      <c r="D2" s="3" t="s">
        <v>126</v>
      </c>
      <c r="E2" s="3" t="s">
        <v>4</v>
      </c>
      <c r="F2" s="3" t="s">
        <v>82</v>
      </c>
      <c r="G2" s="3" t="s">
        <v>116</v>
      </c>
      <c r="H2" t="str">
        <f>$C2 &amp; "が" &amp; $B2 &amp; "に"</f>
        <v>赤ちゃんが母親に</v>
      </c>
      <c r="I2" t="str">
        <f>$D2 &amp; $F2 &amp; $G2</f>
        <v>やさしく抱き上げられたらしい</v>
      </c>
      <c r="J2" t="str">
        <f>"誰が" &amp; $E2 &amp; "か？"</f>
        <v>誰が抱き上げたか？</v>
      </c>
      <c r="K2" t="str">
        <f>$C2</f>
        <v>赤ちゃん</v>
      </c>
      <c r="L2" t="str">
        <f>$B2</f>
        <v>母親</v>
      </c>
      <c r="M2" t="s">
        <v>80</v>
      </c>
      <c r="N2" s="8">
        <v>1.6830000000000001</v>
      </c>
      <c r="O2" s="8">
        <v>2.3250000000000002</v>
      </c>
      <c r="P2" t="str">
        <f>"audio/" &amp; $A2 &amp; "_r1_plausible.wav"</f>
        <v>audio/1_r1_plausible.wav</v>
      </c>
      <c r="Q2" t="str">
        <f>"audio/" &amp; $A2 &amp; "_r2.wav"</f>
        <v>audio/1_r2.wav</v>
      </c>
    </row>
    <row r="3" spans="1:17" x14ac:dyDescent="0.2">
      <c r="A3" s="3">
        <v>2</v>
      </c>
      <c r="B3" s="3" t="s">
        <v>5</v>
      </c>
      <c r="C3" s="3" t="s">
        <v>8</v>
      </c>
      <c r="D3" s="3" t="s">
        <v>127</v>
      </c>
      <c r="E3" s="3" t="s">
        <v>52</v>
      </c>
      <c r="F3" s="3" t="s">
        <v>83</v>
      </c>
      <c r="G3" s="3" t="s">
        <v>145</v>
      </c>
      <c r="H3" t="str">
        <f t="shared" ref="H3:H25" si="0">$C3 &amp; "が" &amp; $B3 &amp; "に"</f>
        <v>男の子が父親に</v>
      </c>
      <c r="I3" t="str">
        <f t="shared" ref="I3:I25" si="1">$D3 &amp; $F3 &amp; $G3</f>
        <v>厳しく怒られたらしい</v>
      </c>
      <c r="J3" t="str">
        <f t="shared" ref="J3:J25" si="2">"誰が" &amp; $E3 &amp; "か？"</f>
        <v>誰が怒ったか？</v>
      </c>
      <c r="K3" t="str">
        <f t="shared" ref="K3:K25" si="3">$C3</f>
        <v>男の子</v>
      </c>
      <c r="L3" t="str">
        <f t="shared" ref="L3:L25" si="4">$B3</f>
        <v>父親</v>
      </c>
      <c r="M3" t="s">
        <v>80</v>
      </c>
      <c r="N3" s="8">
        <v>1.7589999999999999</v>
      </c>
      <c r="O3" s="8">
        <v>2.0489999999999999</v>
      </c>
      <c r="P3" t="str">
        <f t="shared" ref="P3:P25" si="5">"audio/" &amp; $A3 &amp; "_r1_plausible.wav"</f>
        <v>audio/2_r1_plausible.wav</v>
      </c>
      <c r="Q3" t="str">
        <f t="shared" ref="Q3:Q25" si="6">"audio/" &amp; $A3 &amp; "_r2.wav"</f>
        <v>audio/2_r2.wav</v>
      </c>
    </row>
    <row r="4" spans="1:17" x14ac:dyDescent="0.2">
      <c r="A4" s="3">
        <v>3</v>
      </c>
      <c r="B4" s="3" t="s">
        <v>7</v>
      </c>
      <c r="C4" s="3" t="s">
        <v>6</v>
      </c>
      <c r="D4" s="3" t="s">
        <v>129</v>
      </c>
      <c r="E4" s="3" t="s">
        <v>9</v>
      </c>
      <c r="F4" s="3" t="s">
        <v>84</v>
      </c>
      <c r="G4" s="3" t="s">
        <v>117</v>
      </c>
      <c r="H4" t="str">
        <f t="shared" si="0"/>
        <v>子供が保育士に</v>
      </c>
      <c r="I4" t="str">
        <f t="shared" si="1"/>
        <v>とてもかわいがられたそうだ</v>
      </c>
      <c r="J4" t="str">
        <f t="shared" si="2"/>
        <v>誰がかわいがったか？</v>
      </c>
      <c r="K4" t="str">
        <f t="shared" si="3"/>
        <v>子供</v>
      </c>
      <c r="L4" t="str">
        <f t="shared" si="4"/>
        <v>保育士</v>
      </c>
      <c r="M4" t="s">
        <v>80</v>
      </c>
      <c r="N4" s="8">
        <v>1.64</v>
      </c>
      <c r="O4" s="8">
        <v>2.069</v>
      </c>
      <c r="P4" t="str">
        <f t="shared" si="5"/>
        <v>audio/3_r1_plausible.wav</v>
      </c>
      <c r="Q4" t="str">
        <f t="shared" si="6"/>
        <v>audio/3_r2.wav</v>
      </c>
    </row>
    <row r="5" spans="1:17" x14ac:dyDescent="0.2">
      <c r="A5" s="3">
        <v>4</v>
      </c>
      <c r="B5" s="3" t="s">
        <v>53</v>
      </c>
      <c r="C5" s="3" t="s">
        <v>10</v>
      </c>
      <c r="D5" s="3" t="s">
        <v>135</v>
      </c>
      <c r="E5" s="3" t="s">
        <v>11</v>
      </c>
      <c r="F5" s="3" t="s">
        <v>85</v>
      </c>
      <c r="G5" s="3" t="s">
        <v>118</v>
      </c>
      <c r="H5" t="str">
        <f t="shared" si="0"/>
        <v>患者が歯医者に</v>
      </c>
      <c r="I5" t="str">
        <f t="shared" si="1"/>
        <v>事細かに診断されたみたいだ</v>
      </c>
      <c r="J5" t="str">
        <f t="shared" si="2"/>
        <v>誰が診断したか？</v>
      </c>
      <c r="K5" t="str">
        <f t="shared" si="3"/>
        <v>患者</v>
      </c>
      <c r="L5" t="str">
        <f t="shared" si="4"/>
        <v>歯医者</v>
      </c>
      <c r="M5" t="s">
        <v>80</v>
      </c>
      <c r="N5" s="8">
        <v>1.5089999999999999</v>
      </c>
      <c r="O5" s="8">
        <v>2.601</v>
      </c>
      <c r="P5" t="str">
        <f t="shared" si="5"/>
        <v>audio/4_r1_plausible.wav</v>
      </c>
      <c r="Q5" t="str">
        <f t="shared" si="6"/>
        <v>audio/4_r2.wav</v>
      </c>
    </row>
    <row r="6" spans="1:17" x14ac:dyDescent="0.2">
      <c r="A6" s="3">
        <v>5</v>
      </c>
      <c r="B6" s="3" t="s">
        <v>12</v>
      </c>
      <c r="C6" s="3" t="s">
        <v>13</v>
      </c>
      <c r="D6" s="3" t="s">
        <v>126</v>
      </c>
      <c r="E6" s="3" t="s">
        <v>14</v>
      </c>
      <c r="F6" s="3" t="s">
        <v>86</v>
      </c>
      <c r="G6" s="3" t="s">
        <v>117</v>
      </c>
      <c r="H6" t="str">
        <f t="shared" si="0"/>
        <v>病人が看護師に</v>
      </c>
      <c r="I6" t="str">
        <f t="shared" si="1"/>
        <v>やさしく手当されたそうだ</v>
      </c>
      <c r="J6" t="str">
        <f t="shared" si="2"/>
        <v>誰が手当したか？</v>
      </c>
      <c r="K6" t="str">
        <f t="shared" si="3"/>
        <v>病人</v>
      </c>
      <c r="L6" t="str">
        <f t="shared" si="4"/>
        <v>看護師</v>
      </c>
      <c r="M6" t="s">
        <v>80</v>
      </c>
      <c r="N6" s="8">
        <v>1.7529999999999999</v>
      </c>
      <c r="O6" s="8">
        <v>2.0750000000000002</v>
      </c>
      <c r="P6" t="str">
        <f t="shared" si="5"/>
        <v>audio/5_r1_plausible.wav</v>
      </c>
      <c r="Q6" t="str">
        <f t="shared" si="6"/>
        <v>audio/5_r2.wav</v>
      </c>
    </row>
    <row r="7" spans="1:17" x14ac:dyDescent="0.2">
      <c r="A7" s="3">
        <v>6</v>
      </c>
      <c r="B7" s="3" t="s">
        <v>15</v>
      </c>
      <c r="C7" s="3" t="s">
        <v>16</v>
      </c>
      <c r="D7" s="3" t="s">
        <v>131</v>
      </c>
      <c r="E7" s="3" t="s">
        <v>17</v>
      </c>
      <c r="F7" s="3" t="s">
        <v>87</v>
      </c>
      <c r="G7" s="3" t="s">
        <v>116</v>
      </c>
      <c r="H7" t="str">
        <f t="shared" si="0"/>
        <v>犯人が警察官に</v>
      </c>
      <c r="I7" t="str">
        <f t="shared" si="1"/>
        <v>すぐに捕まえられたらしい</v>
      </c>
      <c r="J7" t="str">
        <f t="shared" si="2"/>
        <v>誰が捕まえたか？</v>
      </c>
      <c r="K7" t="str">
        <f t="shared" si="3"/>
        <v>犯人</v>
      </c>
      <c r="L7" t="str">
        <f t="shared" si="4"/>
        <v>警察官</v>
      </c>
      <c r="M7" t="s">
        <v>80</v>
      </c>
      <c r="N7" s="8">
        <v>1.8979999999999999</v>
      </c>
      <c r="O7" s="8">
        <v>2.2989999999999999</v>
      </c>
      <c r="P7" t="str">
        <f t="shared" si="5"/>
        <v>audio/6_r1_plausible.wav</v>
      </c>
      <c r="Q7" t="str">
        <f t="shared" si="6"/>
        <v>audio/6_r2.wav</v>
      </c>
    </row>
    <row r="8" spans="1:17" x14ac:dyDescent="0.2">
      <c r="A8" s="3">
        <v>7</v>
      </c>
      <c r="B8" s="3" t="s">
        <v>22</v>
      </c>
      <c r="C8" s="3" t="s">
        <v>20</v>
      </c>
      <c r="D8" s="3" t="s">
        <v>131</v>
      </c>
      <c r="E8" s="3" t="s">
        <v>21</v>
      </c>
      <c r="F8" s="3" t="s">
        <v>88</v>
      </c>
      <c r="G8" s="3" t="s">
        <v>116</v>
      </c>
      <c r="H8" t="str">
        <f t="shared" si="0"/>
        <v>強盗がおまわりさんに</v>
      </c>
      <c r="I8" t="str">
        <f t="shared" si="1"/>
        <v>すぐに取り押さえられたらしい</v>
      </c>
      <c r="J8" t="str">
        <f t="shared" si="2"/>
        <v>誰が取り押さえたか？</v>
      </c>
      <c r="K8" t="str">
        <f t="shared" si="3"/>
        <v>強盗</v>
      </c>
      <c r="L8" t="str">
        <f t="shared" si="4"/>
        <v>おまわりさん</v>
      </c>
      <c r="M8" t="s">
        <v>80</v>
      </c>
      <c r="N8" s="8">
        <v>1.91</v>
      </c>
      <c r="O8" s="8">
        <v>2.395</v>
      </c>
      <c r="P8" t="str">
        <f t="shared" si="5"/>
        <v>audio/7_r1_plausible.wav</v>
      </c>
      <c r="Q8" t="str">
        <f t="shared" si="6"/>
        <v>audio/7_r2.wav</v>
      </c>
    </row>
    <row r="9" spans="1:17" x14ac:dyDescent="0.2">
      <c r="A9" s="3">
        <v>8</v>
      </c>
      <c r="B9" s="3" t="s">
        <v>23</v>
      </c>
      <c r="C9" s="3" t="s">
        <v>18</v>
      </c>
      <c r="D9" s="3" t="s">
        <v>139</v>
      </c>
      <c r="E9" s="3" t="s">
        <v>19</v>
      </c>
      <c r="F9" s="3" t="s">
        <v>89</v>
      </c>
      <c r="G9" s="3" t="s">
        <v>116</v>
      </c>
      <c r="H9" t="str">
        <f t="shared" si="0"/>
        <v>泥棒が警備員に</v>
      </c>
      <c r="I9" t="str">
        <f t="shared" si="1"/>
        <v>必死に追いかけられたらしい</v>
      </c>
      <c r="J9" t="str">
        <f t="shared" si="2"/>
        <v>誰が追いかけたか？</v>
      </c>
      <c r="K9" t="str">
        <f t="shared" si="3"/>
        <v>泥棒</v>
      </c>
      <c r="L9" t="str">
        <f t="shared" si="4"/>
        <v>警備員</v>
      </c>
      <c r="M9" t="s">
        <v>80</v>
      </c>
      <c r="N9" s="8">
        <v>1.843</v>
      </c>
      <c r="O9" s="8">
        <v>2.2410000000000001</v>
      </c>
      <c r="P9" t="str">
        <f t="shared" si="5"/>
        <v>audio/8_r1_plausible.wav</v>
      </c>
      <c r="Q9" t="str">
        <f t="shared" si="6"/>
        <v>audio/8_r2.wav</v>
      </c>
    </row>
    <row r="10" spans="1:17" x14ac:dyDescent="0.2">
      <c r="A10" s="3">
        <v>9</v>
      </c>
      <c r="B10" s="3" t="s">
        <v>59</v>
      </c>
      <c r="C10" s="3" t="s">
        <v>60</v>
      </c>
      <c r="D10" s="3" t="s">
        <v>132</v>
      </c>
      <c r="E10" s="3" t="s">
        <v>61</v>
      </c>
      <c r="F10" s="3" t="s">
        <v>90</v>
      </c>
      <c r="G10" s="3" t="s">
        <v>118</v>
      </c>
      <c r="H10" t="str">
        <f t="shared" si="0"/>
        <v>老人が詐欺師に</v>
      </c>
      <c r="I10" t="str">
        <f t="shared" si="1"/>
        <v>まんまと騙されたみたいだ</v>
      </c>
      <c r="J10" t="str">
        <f t="shared" si="2"/>
        <v>誰が騙したか？</v>
      </c>
      <c r="K10" t="str">
        <f t="shared" si="3"/>
        <v>老人</v>
      </c>
      <c r="L10" t="str">
        <f t="shared" si="4"/>
        <v>詐欺師</v>
      </c>
      <c r="M10" t="s">
        <v>80</v>
      </c>
      <c r="N10" s="8">
        <v>1.675</v>
      </c>
      <c r="O10" s="8">
        <v>2.165</v>
      </c>
      <c r="P10" t="str">
        <f t="shared" si="5"/>
        <v>audio/9_r1_plausible.wav</v>
      </c>
      <c r="Q10" t="str">
        <f t="shared" si="6"/>
        <v>audio/9_r2.wav</v>
      </c>
    </row>
    <row r="11" spans="1:17" x14ac:dyDescent="0.2">
      <c r="A11" s="3">
        <v>10</v>
      </c>
      <c r="B11" s="3" t="s">
        <v>26</v>
      </c>
      <c r="C11" s="3" t="s">
        <v>24</v>
      </c>
      <c r="D11" s="3" t="s">
        <v>133</v>
      </c>
      <c r="E11" s="3" t="s">
        <v>25</v>
      </c>
      <c r="F11" s="3" t="s">
        <v>91</v>
      </c>
      <c r="G11" s="3" t="s">
        <v>116</v>
      </c>
      <c r="H11" t="str">
        <f t="shared" si="0"/>
        <v>お客さんが店長に</v>
      </c>
      <c r="I11" t="str">
        <f t="shared" si="1"/>
        <v>丁寧に案内されたらしい</v>
      </c>
      <c r="J11" t="str">
        <f t="shared" si="2"/>
        <v>誰が案内したか？</v>
      </c>
      <c r="K11" t="str">
        <f t="shared" si="3"/>
        <v>お客さん</v>
      </c>
      <c r="L11" t="str">
        <f t="shared" si="4"/>
        <v>店長</v>
      </c>
      <c r="M11" t="s">
        <v>80</v>
      </c>
      <c r="N11" s="8">
        <v>1.7529999999999999</v>
      </c>
      <c r="O11" s="8">
        <v>2.3479999999999999</v>
      </c>
      <c r="P11" t="str">
        <f t="shared" si="5"/>
        <v>audio/10_r1_plausible.wav</v>
      </c>
      <c r="Q11" t="str">
        <f t="shared" si="6"/>
        <v>audio/10_r2.wav</v>
      </c>
    </row>
    <row r="12" spans="1:17" x14ac:dyDescent="0.2">
      <c r="A12" s="3">
        <v>11</v>
      </c>
      <c r="B12" s="3" t="s">
        <v>27</v>
      </c>
      <c r="C12" s="3" t="s">
        <v>28</v>
      </c>
      <c r="D12" s="3" t="s">
        <v>133</v>
      </c>
      <c r="E12" s="3" t="s">
        <v>30</v>
      </c>
      <c r="F12" s="3" t="s">
        <v>92</v>
      </c>
      <c r="G12" s="3" t="s">
        <v>118</v>
      </c>
      <c r="H12" t="str">
        <f t="shared" si="0"/>
        <v>生徒が教師に</v>
      </c>
      <c r="I12" t="str">
        <f t="shared" si="1"/>
        <v>丁寧に教えられたみたいだ</v>
      </c>
      <c r="J12" t="str">
        <f t="shared" si="2"/>
        <v>誰が教えたか？</v>
      </c>
      <c r="K12" t="str">
        <f t="shared" si="3"/>
        <v>生徒</v>
      </c>
      <c r="L12" t="str">
        <f t="shared" si="4"/>
        <v>教師</v>
      </c>
      <c r="M12" t="s">
        <v>80</v>
      </c>
      <c r="N12" s="8">
        <v>1.585</v>
      </c>
      <c r="O12" s="8">
        <v>2.3450000000000002</v>
      </c>
      <c r="P12" t="str">
        <f t="shared" si="5"/>
        <v>audio/11_r1_plausible.wav</v>
      </c>
      <c r="Q12" t="str">
        <f t="shared" si="6"/>
        <v>audio/11_r2.wav</v>
      </c>
    </row>
    <row r="13" spans="1:17" x14ac:dyDescent="0.2">
      <c r="A13" s="3">
        <v>12</v>
      </c>
      <c r="B13" s="3" t="s">
        <v>32</v>
      </c>
      <c r="C13" s="3" t="s">
        <v>33</v>
      </c>
      <c r="D13" s="3" t="s">
        <v>127</v>
      </c>
      <c r="E13" s="3" t="s">
        <v>29</v>
      </c>
      <c r="F13" s="3" t="s">
        <v>93</v>
      </c>
      <c r="G13" s="3" t="s">
        <v>146</v>
      </c>
      <c r="H13" t="str">
        <f t="shared" si="0"/>
        <v>小学生が先生に</v>
      </c>
      <c r="I13" t="str">
        <f t="shared" si="1"/>
        <v>厳しく叱られたそうだ</v>
      </c>
      <c r="J13" t="str">
        <f t="shared" si="2"/>
        <v>誰が叱ったか？</v>
      </c>
      <c r="K13" t="str">
        <f t="shared" si="3"/>
        <v>小学生</v>
      </c>
      <c r="L13" t="str">
        <f t="shared" si="4"/>
        <v>先生</v>
      </c>
      <c r="M13" t="s">
        <v>80</v>
      </c>
      <c r="N13" s="8">
        <v>1.9159999999999999</v>
      </c>
      <c r="O13" s="8">
        <v>1.98</v>
      </c>
      <c r="P13" t="str">
        <f t="shared" si="5"/>
        <v>audio/12_r1_plausible.wav</v>
      </c>
      <c r="Q13" t="str">
        <f t="shared" si="6"/>
        <v>audio/12_r2.wav</v>
      </c>
    </row>
    <row r="14" spans="1:17" x14ac:dyDescent="0.2">
      <c r="A14" s="3">
        <v>13</v>
      </c>
      <c r="B14" s="3" t="s">
        <v>35</v>
      </c>
      <c r="C14" s="3" t="s">
        <v>36</v>
      </c>
      <c r="D14" s="3" t="s">
        <v>134</v>
      </c>
      <c r="E14" s="3" t="s">
        <v>34</v>
      </c>
      <c r="F14" s="3" t="s">
        <v>94</v>
      </c>
      <c r="G14" s="3" t="s">
        <v>117</v>
      </c>
      <c r="H14" t="str">
        <f t="shared" si="0"/>
        <v>大学生が教授に</v>
      </c>
      <c r="I14" t="str">
        <f t="shared" si="1"/>
        <v>大袈裟に褒められたそうだ</v>
      </c>
      <c r="J14" t="str">
        <f t="shared" si="2"/>
        <v>誰が褒めたか？</v>
      </c>
      <c r="K14" t="str">
        <f t="shared" si="3"/>
        <v>大学生</v>
      </c>
      <c r="L14" t="str">
        <f t="shared" si="4"/>
        <v>教授</v>
      </c>
      <c r="M14" t="s">
        <v>80</v>
      </c>
      <c r="N14" s="8">
        <v>1.7589999999999999</v>
      </c>
      <c r="O14" s="8">
        <v>1.9710000000000001</v>
      </c>
      <c r="P14" t="str">
        <f t="shared" si="5"/>
        <v>audio/13_r1_plausible.wav</v>
      </c>
      <c r="Q14" t="str">
        <f t="shared" si="6"/>
        <v>audio/13_r2.wav</v>
      </c>
    </row>
    <row r="15" spans="1:17" x14ac:dyDescent="0.2">
      <c r="A15" s="3">
        <v>14</v>
      </c>
      <c r="B15" s="3" t="s">
        <v>54</v>
      </c>
      <c r="C15" s="3" t="s">
        <v>55</v>
      </c>
      <c r="D15" s="3" t="s">
        <v>130</v>
      </c>
      <c r="E15" s="3" t="s">
        <v>31</v>
      </c>
      <c r="F15" s="3" t="s">
        <v>95</v>
      </c>
      <c r="G15" s="3" t="s">
        <v>117</v>
      </c>
      <c r="H15" t="str">
        <f t="shared" si="0"/>
        <v>少年がコーチに</v>
      </c>
      <c r="I15" t="str">
        <f t="shared" si="1"/>
        <v>しっかりと指導されたそうだ</v>
      </c>
      <c r="J15" t="str">
        <f t="shared" si="2"/>
        <v>誰が指導したか？</v>
      </c>
      <c r="K15" t="str">
        <f t="shared" si="3"/>
        <v>少年</v>
      </c>
      <c r="L15" t="str">
        <f t="shared" si="4"/>
        <v>コーチ</v>
      </c>
      <c r="M15" t="s">
        <v>80</v>
      </c>
      <c r="N15" s="8">
        <v>1.663</v>
      </c>
      <c r="O15" s="8">
        <v>2.194</v>
      </c>
      <c r="P15" t="str">
        <f t="shared" si="5"/>
        <v>audio/14_r1_plausible.wav</v>
      </c>
      <c r="Q15" t="str">
        <f t="shared" si="6"/>
        <v>audio/14_r2.wav</v>
      </c>
    </row>
    <row r="16" spans="1:17" x14ac:dyDescent="0.2">
      <c r="A16" s="3">
        <v>15</v>
      </c>
      <c r="B16" s="3" t="s">
        <v>57</v>
      </c>
      <c r="C16" s="3" t="s">
        <v>58</v>
      </c>
      <c r="D16" s="3" t="s">
        <v>136</v>
      </c>
      <c r="E16" s="3" t="s">
        <v>56</v>
      </c>
      <c r="F16" s="3" t="s">
        <v>96</v>
      </c>
      <c r="G16" s="3" t="s">
        <v>118</v>
      </c>
      <c r="H16" t="str">
        <f t="shared" si="0"/>
        <v>弟子が師匠に</v>
      </c>
      <c r="I16" t="str">
        <f t="shared" si="1"/>
        <v>やっとのことで認められたみたいだ</v>
      </c>
      <c r="J16" t="str">
        <f t="shared" si="2"/>
        <v>誰が認めたか？</v>
      </c>
      <c r="K16" t="str">
        <f t="shared" si="3"/>
        <v>弟子</v>
      </c>
      <c r="L16" t="str">
        <f t="shared" si="4"/>
        <v>師匠</v>
      </c>
      <c r="M16" t="s">
        <v>80</v>
      </c>
      <c r="N16" s="8">
        <v>1.44</v>
      </c>
      <c r="O16" s="8">
        <v>2.56</v>
      </c>
      <c r="P16" t="str">
        <f t="shared" si="5"/>
        <v>audio/15_r1_plausible.wav</v>
      </c>
      <c r="Q16" t="str">
        <f t="shared" si="6"/>
        <v>audio/15_r2.wav</v>
      </c>
    </row>
    <row r="17" spans="1:17" x14ac:dyDescent="0.2">
      <c r="A17" s="3">
        <v>16</v>
      </c>
      <c r="B17" s="3" t="s">
        <v>49</v>
      </c>
      <c r="C17" s="3" t="s">
        <v>50</v>
      </c>
      <c r="D17" s="3" t="s">
        <v>144</v>
      </c>
      <c r="E17" s="3" t="s">
        <v>51</v>
      </c>
      <c r="F17" s="3" t="s">
        <v>97</v>
      </c>
      <c r="G17" s="3" t="s">
        <v>117</v>
      </c>
      <c r="H17" t="str">
        <f t="shared" si="0"/>
        <v>上司が部下に</v>
      </c>
      <c r="I17" t="str">
        <f t="shared" si="1"/>
        <v>広く尊敬されたそうだ</v>
      </c>
      <c r="J17" t="str">
        <f t="shared" si="2"/>
        <v>誰が尊敬したか？</v>
      </c>
      <c r="K17" t="str">
        <f t="shared" si="3"/>
        <v>上司</v>
      </c>
      <c r="L17" t="str">
        <f t="shared" si="4"/>
        <v>部下</v>
      </c>
      <c r="M17" t="s">
        <v>80</v>
      </c>
      <c r="N17" s="8">
        <v>1.405</v>
      </c>
      <c r="O17" s="8">
        <v>2.02</v>
      </c>
      <c r="P17" t="str">
        <f t="shared" si="5"/>
        <v>audio/16_r1_plausible.wav</v>
      </c>
      <c r="Q17" t="str">
        <f t="shared" si="6"/>
        <v>audio/16_r2.wav</v>
      </c>
    </row>
    <row r="18" spans="1:17" x14ac:dyDescent="0.2">
      <c r="A18" s="3">
        <v>17</v>
      </c>
      <c r="B18" s="3" t="s">
        <v>62</v>
      </c>
      <c r="C18" s="3" t="s">
        <v>63</v>
      </c>
      <c r="D18" s="3" t="s">
        <v>137</v>
      </c>
      <c r="E18" s="3" t="s">
        <v>64</v>
      </c>
      <c r="F18" s="3" t="s">
        <v>98</v>
      </c>
      <c r="G18" s="3" t="s">
        <v>118</v>
      </c>
      <c r="H18" t="str">
        <f t="shared" si="0"/>
        <v>秘書が社長に</v>
      </c>
      <c r="I18" t="str">
        <f t="shared" si="1"/>
        <v>頻繁に呼ばれたみたいだ</v>
      </c>
      <c r="J18" t="str">
        <f t="shared" si="2"/>
        <v>誰が呼んだか？</v>
      </c>
      <c r="K18" t="str">
        <f t="shared" si="3"/>
        <v>秘書</v>
      </c>
      <c r="L18" t="str">
        <f t="shared" si="4"/>
        <v>社長</v>
      </c>
      <c r="M18" t="s">
        <v>80</v>
      </c>
      <c r="N18" s="8">
        <v>1.44</v>
      </c>
      <c r="O18" s="8">
        <v>2.11</v>
      </c>
      <c r="P18" t="str">
        <f t="shared" si="5"/>
        <v>audio/17_r1_plausible.wav</v>
      </c>
      <c r="Q18" t="str">
        <f t="shared" si="6"/>
        <v>audio/17_r2.wav</v>
      </c>
    </row>
    <row r="19" spans="1:17" x14ac:dyDescent="0.2">
      <c r="A19" s="3">
        <v>18</v>
      </c>
      <c r="B19" s="3" t="s">
        <v>37</v>
      </c>
      <c r="C19" s="3" t="s">
        <v>38</v>
      </c>
      <c r="D19" s="3" t="s">
        <v>138</v>
      </c>
      <c r="E19" s="3" t="s">
        <v>39</v>
      </c>
      <c r="F19" s="3" t="s">
        <v>99</v>
      </c>
      <c r="G19" s="3" t="s">
        <v>118</v>
      </c>
      <c r="H19" t="str">
        <f t="shared" si="0"/>
        <v>弁護士が被害者に</v>
      </c>
      <c r="I19" t="str">
        <f t="shared" si="1"/>
        <v>良い条件で雇われたみたいだ</v>
      </c>
      <c r="J19" t="str">
        <f t="shared" si="2"/>
        <v>誰が雇ったか？</v>
      </c>
      <c r="K19" t="str">
        <f t="shared" si="3"/>
        <v>弁護士</v>
      </c>
      <c r="L19" t="str">
        <f t="shared" si="4"/>
        <v>被害者</v>
      </c>
      <c r="M19" t="s">
        <v>80</v>
      </c>
      <c r="N19" s="8">
        <v>1.7150000000000001</v>
      </c>
      <c r="O19" s="8">
        <v>2.4900000000000002</v>
      </c>
      <c r="P19" t="str">
        <f t="shared" si="5"/>
        <v>audio/18_r1_plausible.wav</v>
      </c>
      <c r="Q19" t="str">
        <f t="shared" si="6"/>
        <v>audio/18_r2.wav</v>
      </c>
    </row>
    <row r="20" spans="1:17" x14ac:dyDescent="0.2">
      <c r="A20" s="3">
        <v>19</v>
      </c>
      <c r="B20" s="3" t="s">
        <v>40</v>
      </c>
      <c r="C20" s="3" t="s">
        <v>41</v>
      </c>
      <c r="D20" s="3" t="s">
        <v>142</v>
      </c>
      <c r="E20" s="3" t="s">
        <v>42</v>
      </c>
      <c r="F20" s="3" t="s">
        <v>100</v>
      </c>
      <c r="G20" s="3" t="s">
        <v>116</v>
      </c>
      <c r="H20" t="str">
        <f t="shared" si="0"/>
        <v>お年寄りがお兄さんに</v>
      </c>
      <c r="I20" t="str">
        <f t="shared" si="1"/>
        <v>親切に助けられたらしい</v>
      </c>
      <c r="J20" t="str">
        <f t="shared" si="2"/>
        <v>誰が助けたか？</v>
      </c>
      <c r="K20" t="str">
        <f t="shared" si="3"/>
        <v>お年寄り</v>
      </c>
      <c r="L20" t="str">
        <f t="shared" si="4"/>
        <v>お兄さん</v>
      </c>
      <c r="M20" t="s">
        <v>80</v>
      </c>
      <c r="N20" s="8">
        <v>1.9239999999999999</v>
      </c>
      <c r="O20" s="8">
        <v>2.339</v>
      </c>
      <c r="P20" t="str">
        <f t="shared" si="5"/>
        <v>audio/19_r1_plausible.wav</v>
      </c>
      <c r="Q20" t="str">
        <f t="shared" si="6"/>
        <v>audio/19_r2.wav</v>
      </c>
    </row>
    <row r="21" spans="1:17" x14ac:dyDescent="0.2">
      <c r="A21" s="3">
        <v>20</v>
      </c>
      <c r="B21" s="3" t="s">
        <v>47</v>
      </c>
      <c r="C21" s="3" t="s">
        <v>44</v>
      </c>
      <c r="D21" s="3" t="s">
        <v>140</v>
      </c>
      <c r="E21" s="3" t="s">
        <v>43</v>
      </c>
      <c r="F21" s="3" t="s">
        <v>101</v>
      </c>
      <c r="G21" s="3" t="s">
        <v>147</v>
      </c>
      <c r="H21" t="str">
        <f t="shared" si="0"/>
        <v>おばあさんがヘルパーに</v>
      </c>
      <c r="I21" t="str">
        <f t="shared" si="1"/>
        <v>素早く手伝われたみたいだ</v>
      </c>
      <c r="J21" t="str">
        <f t="shared" si="2"/>
        <v>誰が手伝ったか？</v>
      </c>
      <c r="K21" t="str">
        <f t="shared" si="3"/>
        <v>おばあさん</v>
      </c>
      <c r="L21" t="str">
        <f t="shared" si="4"/>
        <v>ヘルパー</v>
      </c>
      <c r="M21" t="s">
        <v>80</v>
      </c>
      <c r="N21" s="8">
        <v>1.7789999999999999</v>
      </c>
      <c r="O21" s="8">
        <v>2.331</v>
      </c>
      <c r="P21" t="str">
        <f t="shared" si="5"/>
        <v>audio/20_r1_plausible.wav</v>
      </c>
      <c r="Q21" t="str">
        <f t="shared" si="6"/>
        <v>audio/20_r2.wav</v>
      </c>
    </row>
    <row r="22" spans="1:17" x14ac:dyDescent="0.2">
      <c r="A22" s="3">
        <v>21</v>
      </c>
      <c r="B22" s="3" t="s">
        <v>45</v>
      </c>
      <c r="C22" s="3" t="s">
        <v>48</v>
      </c>
      <c r="D22" s="3" t="s">
        <v>141</v>
      </c>
      <c r="E22" s="3" t="s">
        <v>46</v>
      </c>
      <c r="F22" s="3" t="s">
        <v>102</v>
      </c>
      <c r="G22" s="3" t="s">
        <v>117</v>
      </c>
      <c r="H22" t="str">
        <f t="shared" si="0"/>
        <v>おじいさんが介護士に</v>
      </c>
      <c r="I22" t="str">
        <f t="shared" si="1"/>
        <v>手際よく世話されたそうだ</v>
      </c>
      <c r="J22" t="str">
        <f t="shared" si="2"/>
        <v>誰が世話したか？</v>
      </c>
      <c r="K22" t="str">
        <f t="shared" si="3"/>
        <v>おじいさん</v>
      </c>
      <c r="L22" t="str">
        <f t="shared" si="4"/>
        <v>介護士</v>
      </c>
      <c r="M22" t="s">
        <v>80</v>
      </c>
      <c r="N22" s="8">
        <v>1.8340000000000001</v>
      </c>
      <c r="O22" s="8">
        <v>2.1440000000000001</v>
      </c>
      <c r="P22" t="str">
        <f t="shared" si="5"/>
        <v>audio/21_r1_plausible.wav</v>
      </c>
      <c r="Q22" t="str">
        <f t="shared" si="6"/>
        <v>audio/21_r2.wav</v>
      </c>
    </row>
    <row r="23" spans="1:17" x14ac:dyDescent="0.2">
      <c r="A23" s="3">
        <v>22</v>
      </c>
      <c r="B23" s="3" t="s">
        <v>65</v>
      </c>
      <c r="C23" s="3" t="s">
        <v>66</v>
      </c>
      <c r="D23" s="3" t="s">
        <v>143</v>
      </c>
      <c r="E23" s="3" t="s">
        <v>67</v>
      </c>
      <c r="F23" s="3" t="s">
        <v>103</v>
      </c>
      <c r="G23" s="3" t="s">
        <v>145</v>
      </c>
      <c r="H23" t="str">
        <f t="shared" si="0"/>
        <v>芸能人がファンに</v>
      </c>
      <c r="I23" t="str">
        <f t="shared" si="1"/>
        <v>密かに盗撮されたらしい</v>
      </c>
      <c r="J23" t="str">
        <f t="shared" si="2"/>
        <v>誰が盗撮したか？</v>
      </c>
      <c r="K23" t="str">
        <f t="shared" si="3"/>
        <v>芸能人</v>
      </c>
      <c r="L23" t="str">
        <f t="shared" si="4"/>
        <v>ファン</v>
      </c>
      <c r="M23" t="s">
        <v>80</v>
      </c>
      <c r="N23" s="8">
        <v>1.718</v>
      </c>
      <c r="O23" s="8">
        <v>2.2839999999999998</v>
      </c>
      <c r="P23" t="str">
        <f t="shared" si="5"/>
        <v>audio/22_r1_plausible.wav</v>
      </c>
      <c r="Q23" t="str">
        <f t="shared" si="6"/>
        <v>audio/22_r2.wav</v>
      </c>
    </row>
    <row r="24" spans="1:17" x14ac:dyDescent="0.2">
      <c r="A24" s="3">
        <v>23</v>
      </c>
      <c r="B24" s="3" t="s">
        <v>70</v>
      </c>
      <c r="C24" s="3" t="s">
        <v>69</v>
      </c>
      <c r="D24" s="3" t="s">
        <v>141</v>
      </c>
      <c r="E24" s="3" t="s">
        <v>68</v>
      </c>
      <c r="F24" s="3" t="s">
        <v>104</v>
      </c>
      <c r="G24" s="3" t="s">
        <v>146</v>
      </c>
      <c r="H24" t="str">
        <f t="shared" si="0"/>
        <v>女優がカメラマンに</v>
      </c>
      <c r="I24" t="str">
        <f t="shared" si="1"/>
        <v>手際よく撮影されたそうだ</v>
      </c>
      <c r="J24" t="str">
        <f t="shared" si="2"/>
        <v>誰が撮影したか？</v>
      </c>
      <c r="K24" t="str">
        <f t="shared" si="3"/>
        <v>女優</v>
      </c>
      <c r="L24" t="str">
        <f t="shared" si="4"/>
        <v>カメラマン</v>
      </c>
      <c r="M24" t="s">
        <v>80</v>
      </c>
      <c r="N24" s="8">
        <v>1.7529999999999999</v>
      </c>
      <c r="O24" s="8">
        <v>2.2000000000000002</v>
      </c>
      <c r="P24" t="str">
        <f t="shared" si="5"/>
        <v>audio/23_r1_plausible.wav</v>
      </c>
      <c r="Q24" t="str">
        <f t="shared" si="6"/>
        <v>audio/23_r2.wav</v>
      </c>
    </row>
    <row r="25" spans="1:17" x14ac:dyDescent="0.2">
      <c r="A25" s="3">
        <v>24</v>
      </c>
      <c r="B25" s="3" t="s">
        <v>71</v>
      </c>
      <c r="C25" s="3" t="s">
        <v>73</v>
      </c>
      <c r="D25" s="3" t="s">
        <v>135</v>
      </c>
      <c r="E25" s="3" t="s">
        <v>72</v>
      </c>
      <c r="F25" s="3" t="s">
        <v>105</v>
      </c>
      <c r="G25" s="3" t="s">
        <v>117</v>
      </c>
      <c r="H25" t="str">
        <f t="shared" si="0"/>
        <v>大臣が記者に</v>
      </c>
      <c r="I25" t="str">
        <f t="shared" si="1"/>
        <v>事細かに質問されたそうだ</v>
      </c>
      <c r="J25" t="str">
        <f t="shared" si="2"/>
        <v>誰が質問したか？</v>
      </c>
      <c r="K25" t="str">
        <f t="shared" si="3"/>
        <v>大臣</v>
      </c>
      <c r="L25" t="str">
        <f t="shared" si="4"/>
        <v>記者</v>
      </c>
      <c r="M25" t="s">
        <v>80</v>
      </c>
      <c r="N25" s="8">
        <v>1.5009999999999999</v>
      </c>
      <c r="O25" s="8">
        <v>2.3540000000000001</v>
      </c>
      <c r="P25" t="str">
        <f t="shared" si="5"/>
        <v>audio/24_r1_plausible.wav</v>
      </c>
      <c r="Q25" t="str">
        <f t="shared" si="6"/>
        <v>audio/24_r2.wav</v>
      </c>
    </row>
  </sheetData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A8A0-2A9D-0641-A8EF-42EAEBAC1A3F}">
  <dimension ref="A1:Q25"/>
  <sheetViews>
    <sheetView zoomScale="71" zoomScaleNormal="100" workbookViewId="0">
      <pane xSplit="1" topLeftCell="G1" activePane="topRight" state="frozen"/>
      <selection activeCell="N10" sqref="N10"/>
      <selection pane="topRight" activeCell="H8" sqref="H8:Q8"/>
    </sheetView>
  </sheetViews>
  <sheetFormatPr baseColWidth="10" defaultColWidth="10.6640625" defaultRowHeight="16" x14ac:dyDescent="0.2"/>
  <cols>
    <col min="2" max="2" width="17.83203125" customWidth="1"/>
    <col min="3" max="3" width="17.5" customWidth="1"/>
    <col min="4" max="4" width="16.6640625" customWidth="1"/>
    <col min="5" max="5" width="15.83203125" customWidth="1"/>
    <col min="6" max="6" width="20" customWidth="1"/>
    <col min="7" max="7" width="14.1640625" customWidth="1"/>
    <col min="8" max="8" width="27" customWidth="1"/>
    <col min="9" max="9" width="39.83203125" customWidth="1"/>
    <col min="10" max="10" width="30.6640625" customWidth="1"/>
    <col min="11" max="11" width="12.83203125" customWidth="1"/>
    <col min="12" max="12" width="14.1640625" customWidth="1"/>
    <col min="14" max="15" width="10.6640625" style="8"/>
    <col min="16" max="16" width="31.5" customWidth="1"/>
    <col min="17" max="17" width="24.5" customWidth="1"/>
  </cols>
  <sheetData>
    <row r="1" spans="1:17" x14ac:dyDescent="0.2">
      <c r="A1" t="s">
        <v>76</v>
      </c>
      <c r="B1" t="s">
        <v>77</v>
      </c>
      <c r="C1" t="s">
        <v>78</v>
      </c>
      <c r="D1" s="4" t="s">
        <v>125</v>
      </c>
      <c r="E1" t="s">
        <v>106</v>
      </c>
      <c r="F1" t="s">
        <v>81</v>
      </c>
      <c r="G1" t="s">
        <v>115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s="8" t="s">
        <v>369</v>
      </c>
      <c r="O1" s="8" t="s">
        <v>370</v>
      </c>
      <c r="P1" t="s">
        <v>371</v>
      </c>
      <c r="Q1" t="s">
        <v>372</v>
      </c>
    </row>
    <row r="2" spans="1:17" x14ac:dyDescent="0.2">
      <c r="A2" s="3">
        <v>1</v>
      </c>
      <c r="B2" s="3" t="s">
        <v>0</v>
      </c>
      <c r="C2" s="3" t="s">
        <v>2</v>
      </c>
      <c r="D2" s="3" t="s">
        <v>126</v>
      </c>
      <c r="E2" s="3" t="s">
        <v>4</v>
      </c>
      <c r="F2" s="3" t="s">
        <v>82</v>
      </c>
      <c r="G2" s="3" t="s">
        <v>116</v>
      </c>
      <c r="H2" t="str">
        <f>$C2 &amp; "が" &amp; $B2 &amp; "に"</f>
        <v>赤ちゃんが母親に</v>
      </c>
      <c r="I2" t="str">
        <f>$D2 &amp; $F2 &amp; $G2</f>
        <v>やさしく抱き上げられたらしい</v>
      </c>
      <c r="J2" t="str">
        <f>"誰が" &amp; $E2 &amp; "か？"</f>
        <v>誰が抱き上げたか？</v>
      </c>
      <c r="K2" t="str">
        <f>$B2</f>
        <v>母親</v>
      </c>
      <c r="L2" t="str">
        <f>$C2</f>
        <v>赤ちゃん</v>
      </c>
      <c r="M2" t="s">
        <v>79</v>
      </c>
      <c r="N2" s="8">
        <v>1.6830000000000001</v>
      </c>
      <c r="O2" s="8">
        <v>2.3250000000000002</v>
      </c>
      <c r="P2" t="str">
        <f>"audio/" &amp; $A2 &amp; "_r1_plausible.wav"</f>
        <v>audio/1_r1_plausible.wav</v>
      </c>
      <c r="Q2" t="str">
        <f>"audio/" &amp; $A2 &amp; "_r2.wav"</f>
        <v>audio/1_r2.wav</v>
      </c>
    </row>
    <row r="3" spans="1:17" x14ac:dyDescent="0.2">
      <c r="A3" s="3">
        <v>2</v>
      </c>
      <c r="B3" s="3" t="s">
        <v>5</v>
      </c>
      <c r="C3" s="3" t="s">
        <v>8</v>
      </c>
      <c r="D3" s="3" t="s">
        <v>127</v>
      </c>
      <c r="E3" s="3" t="s">
        <v>52</v>
      </c>
      <c r="F3" s="3" t="s">
        <v>83</v>
      </c>
      <c r="G3" s="3" t="s">
        <v>145</v>
      </c>
      <c r="H3" t="str">
        <f t="shared" ref="H3:H25" si="0">$C3 &amp; "が" &amp; $B3 &amp; "に"</f>
        <v>男の子が父親に</v>
      </c>
      <c r="I3" t="str">
        <f t="shared" ref="I3:I25" si="1">$D3 &amp; $F3 &amp; $G3</f>
        <v>厳しく怒られたらしい</v>
      </c>
      <c r="J3" t="str">
        <f t="shared" ref="J3:J25" si="2">"誰が" &amp; $E3 &amp; "か？"</f>
        <v>誰が怒ったか？</v>
      </c>
      <c r="K3" t="str">
        <f t="shared" ref="K3:K25" si="3">$B3</f>
        <v>父親</v>
      </c>
      <c r="L3" t="str">
        <f t="shared" ref="L3:L25" si="4">$C3</f>
        <v>男の子</v>
      </c>
      <c r="M3" t="s">
        <v>79</v>
      </c>
      <c r="N3" s="8">
        <v>1.7589999999999999</v>
      </c>
      <c r="O3" s="8">
        <v>2.0489999999999999</v>
      </c>
      <c r="P3" t="str">
        <f t="shared" ref="P3:P25" si="5">"audio/" &amp; $A3 &amp; "_r1_plausible.wav"</f>
        <v>audio/2_r1_plausible.wav</v>
      </c>
      <c r="Q3" t="str">
        <f t="shared" ref="Q3:Q25" si="6">"audio/" &amp; $A3 &amp; "_r2.wav"</f>
        <v>audio/2_r2.wav</v>
      </c>
    </row>
    <row r="4" spans="1:17" x14ac:dyDescent="0.2">
      <c r="A4" s="3">
        <v>3</v>
      </c>
      <c r="B4" s="3" t="s">
        <v>7</v>
      </c>
      <c r="C4" s="3" t="s">
        <v>6</v>
      </c>
      <c r="D4" s="3" t="s">
        <v>129</v>
      </c>
      <c r="E4" s="3" t="s">
        <v>9</v>
      </c>
      <c r="F4" s="3" t="s">
        <v>84</v>
      </c>
      <c r="G4" s="3" t="s">
        <v>117</v>
      </c>
      <c r="H4" t="str">
        <f t="shared" si="0"/>
        <v>子供が保育士に</v>
      </c>
      <c r="I4" t="str">
        <f t="shared" si="1"/>
        <v>とてもかわいがられたそうだ</v>
      </c>
      <c r="J4" t="str">
        <f t="shared" si="2"/>
        <v>誰がかわいがったか？</v>
      </c>
      <c r="K4" t="str">
        <f t="shared" si="3"/>
        <v>保育士</v>
      </c>
      <c r="L4" t="str">
        <f t="shared" si="4"/>
        <v>子供</v>
      </c>
      <c r="M4" t="s">
        <v>79</v>
      </c>
      <c r="N4" s="8">
        <v>1.64</v>
      </c>
      <c r="O4" s="8">
        <v>2.069</v>
      </c>
      <c r="P4" t="str">
        <f t="shared" si="5"/>
        <v>audio/3_r1_plausible.wav</v>
      </c>
      <c r="Q4" t="str">
        <f t="shared" si="6"/>
        <v>audio/3_r2.wav</v>
      </c>
    </row>
    <row r="5" spans="1:17" x14ac:dyDescent="0.2">
      <c r="A5" s="3">
        <v>4</v>
      </c>
      <c r="B5" s="3" t="s">
        <v>53</v>
      </c>
      <c r="C5" s="3" t="s">
        <v>10</v>
      </c>
      <c r="D5" s="3" t="s">
        <v>135</v>
      </c>
      <c r="E5" s="3" t="s">
        <v>11</v>
      </c>
      <c r="F5" s="3" t="s">
        <v>85</v>
      </c>
      <c r="G5" s="3" t="s">
        <v>118</v>
      </c>
      <c r="H5" t="str">
        <f t="shared" si="0"/>
        <v>患者が歯医者に</v>
      </c>
      <c r="I5" t="str">
        <f t="shared" si="1"/>
        <v>事細かに診断されたみたいだ</v>
      </c>
      <c r="J5" t="str">
        <f t="shared" si="2"/>
        <v>誰が診断したか？</v>
      </c>
      <c r="K5" t="str">
        <f t="shared" si="3"/>
        <v>歯医者</v>
      </c>
      <c r="L5" t="str">
        <f t="shared" si="4"/>
        <v>患者</v>
      </c>
      <c r="M5" t="s">
        <v>79</v>
      </c>
      <c r="N5" s="8">
        <v>1.5089999999999999</v>
      </c>
      <c r="O5" s="8">
        <v>2.601</v>
      </c>
      <c r="P5" t="str">
        <f t="shared" si="5"/>
        <v>audio/4_r1_plausible.wav</v>
      </c>
      <c r="Q5" t="str">
        <f t="shared" si="6"/>
        <v>audio/4_r2.wav</v>
      </c>
    </row>
    <row r="6" spans="1:17" x14ac:dyDescent="0.2">
      <c r="A6" s="3">
        <v>5</v>
      </c>
      <c r="B6" s="3" t="s">
        <v>12</v>
      </c>
      <c r="C6" s="3" t="s">
        <v>13</v>
      </c>
      <c r="D6" s="3" t="s">
        <v>126</v>
      </c>
      <c r="E6" s="3" t="s">
        <v>14</v>
      </c>
      <c r="F6" s="3" t="s">
        <v>86</v>
      </c>
      <c r="G6" s="3" t="s">
        <v>117</v>
      </c>
      <c r="H6" t="str">
        <f t="shared" si="0"/>
        <v>病人が看護師に</v>
      </c>
      <c r="I6" t="str">
        <f t="shared" si="1"/>
        <v>やさしく手当されたそうだ</v>
      </c>
      <c r="J6" t="str">
        <f t="shared" si="2"/>
        <v>誰が手当したか？</v>
      </c>
      <c r="K6" t="str">
        <f t="shared" si="3"/>
        <v>看護師</v>
      </c>
      <c r="L6" t="str">
        <f t="shared" si="4"/>
        <v>病人</v>
      </c>
      <c r="M6" t="s">
        <v>79</v>
      </c>
      <c r="N6" s="8">
        <v>1.7529999999999999</v>
      </c>
      <c r="O6" s="8">
        <v>2.0750000000000002</v>
      </c>
      <c r="P6" t="str">
        <f t="shared" si="5"/>
        <v>audio/5_r1_plausible.wav</v>
      </c>
      <c r="Q6" t="str">
        <f t="shared" si="6"/>
        <v>audio/5_r2.wav</v>
      </c>
    </row>
    <row r="7" spans="1:17" x14ac:dyDescent="0.2">
      <c r="A7" s="3">
        <v>6</v>
      </c>
      <c r="B7" s="3" t="s">
        <v>15</v>
      </c>
      <c r="C7" s="3" t="s">
        <v>16</v>
      </c>
      <c r="D7" s="3" t="s">
        <v>131</v>
      </c>
      <c r="E7" s="3" t="s">
        <v>17</v>
      </c>
      <c r="F7" s="3" t="s">
        <v>87</v>
      </c>
      <c r="G7" s="3" t="s">
        <v>116</v>
      </c>
      <c r="H7" t="str">
        <f t="shared" si="0"/>
        <v>犯人が警察官に</v>
      </c>
      <c r="I7" t="str">
        <f t="shared" si="1"/>
        <v>すぐに捕まえられたらしい</v>
      </c>
      <c r="J7" t="str">
        <f t="shared" si="2"/>
        <v>誰が捕まえたか？</v>
      </c>
      <c r="K7" t="str">
        <f t="shared" si="3"/>
        <v>警察官</v>
      </c>
      <c r="L7" t="str">
        <f t="shared" si="4"/>
        <v>犯人</v>
      </c>
      <c r="M7" t="s">
        <v>79</v>
      </c>
      <c r="N7" s="8">
        <v>1.8979999999999999</v>
      </c>
      <c r="O7" s="8">
        <v>2.2989999999999999</v>
      </c>
      <c r="P7" t="str">
        <f t="shared" si="5"/>
        <v>audio/6_r1_plausible.wav</v>
      </c>
      <c r="Q7" t="str">
        <f t="shared" si="6"/>
        <v>audio/6_r2.wav</v>
      </c>
    </row>
    <row r="8" spans="1:17" x14ac:dyDescent="0.2">
      <c r="A8" s="3">
        <v>7</v>
      </c>
      <c r="B8" s="3" t="s">
        <v>22</v>
      </c>
      <c r="C8" s="3" t="s">
        <v>20</v>
      </c>
      <c r="D8" s="3" t="s">
        <v>131</v>
      </c>
      <c r="E8" s="3" t="s">
        <v>21</v>
      </c>
      <c r="F8" s="3" t="s">
        <v>88</v>
      </c>
      <c r="G8" s="3" t="s">
        <v>116</v>
      </c>
      <c r="H8" t="str">
        <f t="shared" si="0"/>
        <v>強盗がおまわりさんに</v>
      </c>
      <c r="I8" t="str">
        <f t="shared" si="1"/>
        <v>すぐに取り押さえられたらしい</v>
      </c>
      <c r="J8" t="str">
        <f t="shared" si="2"/>
        <v>誰が取り押さえたか？</v>
      </c>
      <c r="K8" t="str">
        <f t="shared" si="3"/>
        <v>おまわりさん</v>
      </c>
      <c r="L8" t="str">
        <f t="shared" si="4"/>
        <v>強盗</v>
      </c>
      <c r="M8" t="s">
        <v>79</v>
      </c>
      <c r="N8" s="8">
        <v>1.91</v>
      </c>
      <c r="O8" s="8">
        <v>2.395</v>
      </c>
      <c r="P8" t="str">
        <f t="shared" si="5"/>
        <v>audio/7_r1_plausible.wav</v>
      </c>
      <c r="Q8" t="str">
        <f t="shared" si="6"/>
        <v>audio/7_r2.wav</v>
      </c>
    </row>
    <row r="9" spans="1:17" x14ac:dyDescent="0.2">
      <c r="A9" s="3">
        <v>8</v>
      </c>
      <c r="B9" s="3" t="s">
        <v>23</v>
      </c>
      <c r="C9" s="3" t="s">
        <v>18</v>
      </c>
      <c r="D9" s="3" t="s">
        <v>139</v>
      </c>
      <c r="E9" s="3" t="s">
        <v>19</v>
      </c>
      <c r="F9" s="3" t="s">
        <v>89</v>
      </c>
      <c r="G9" s="3" t="s">
        <v>116</v>
      </c>
      <c r="H9" t="str">
        <f t="shared" si="0"/>
        <v>泥棒が警備員に</v>
      </c>
      <c r="I9" t="str">
        <f t="shared" si="1"/>
        <v>必死に追いかけられたらしい</v>
      </c>
      <c r="J9" t="str">
        <f t="shared" si="2"/>
        <v>誰が追いかけたか？</v>
      </c>
      <c r="K9" t="str">
        <f t="shared" si="3"/>
        <v>警備員</v>
      </c>
      <c r="L9" t="str">
        <f t="shared" si="4"/>
        <v>泥棒</v>
      </c>
      <c r="M9" t="s">
        <v>79</v>
      </c>
      <c r="N9" s="8">
        <v>1.843</v>
      </c>
      <c r="O9" s="8">
        <v>2.2410000000000001</v>
      </c>
      <c r="P9" t="str">
        <f t="shared" si="5"/>
        <v>audio/8_r1_plausible.wav</v>
      </c>
      <c r="Q9" t="str">
        <f t="shared" si="6"/>
        <v>audio/8_r2.wav</v>
      </c>
    </row>
    <row r="10" spans="1:17" x14ac:dyDescent="0.2">
      <c r="A10" s="3">
        <v>9</v>
      </c>
      <c r="B10" s="3" t="s">
        <v>59</v>
      </c>
      <c r="C10" s="3" t="s">
        <v>60</v>
      </c>
      <c r="D10" s="3" t="s">
        <v>132</v>
      </c>
      <c r="E10" s="3" t="s">
        <v>61</v>
      </c>
      <c r="F10" s="3" t="s">
        <v>90</v>
      </c>
      <c r="G10" s="3" t="s">
        <v>118</v>
      </c>
      <c r="H10" t="str">
        <f t="shared" si="0"/>
        <v>老人が詐欺師に</v>
      </c>
      <c r="I10" t="str">
        <f t="shared" si="1"/>
        <v>まんまと騙されたみたいだ</v>
      </c>
      <c r="J10" t="str">
        <f t="shared" si="2"/>
        <v>誰が騙したか？</v>
      </c>
      <c r="K10" t="str">
        <f t="shared" si="3"/>
        <v>詐欺師</v>
      </c>
      <c r="L10" t="str">
        <f t="shared" si="4"/>
        <v>老人</v>
      </c>
      <c r="M10" t="s">
        <v>79</v>
      </c>
      <c r="N10" s="8">
        <v>1.675</v>
      </c>
      <c r="O10" s="8">
        <v>2.165</v>
      </c>
      <c r="P10" t="str">
        <f t="shared" si="5"/>
        <v>audio/9_r1_plausible.wav</v>
      </c>
      <c r="Q10" t="str">
        <f t="shared" si="6"/>
        <v>audio/9_r2.wav</v>
      </c>
    </row>
    <row r="11" spans="1:17" x14ac:dyDescent="0.2">
      <c r="A11" s="3">
        <v>10</v>
      </c>
      <c r="B11" s="3" t="s">
        <v>26</v>
      </c>
      <c r="C11" s="3" t="s">
        <v>24</v>
      </c>
      <c r="D11" s="3" t="s">
        <v>133</v>
      </c>
      <c r="E11" s="3" t="s">
        <v>25</v>
      </c>
      <c r="F11" s="3" t="s">
        <v>91</v>
      </c>
      <c r="G11" s="3" t="s">
        <v>116</v>
      </c>
      <c r="H11" t="str">
        <f t="shared" si="0"/>
        <v>お客さんが店長に</v>
      </c>
      <c r="I11" t="str">
        <f t="shared" si="1"/>
        <v>丁寧に案内されたらしい</v>
      </c>
      <c r="J11" t="str">
        <f t="shared" si="2"/>
        <v>誰が案内したか？</v>
      </c>
      <c r="K11" t="str">
        <f t="shared" si="3"/>
        <v>店長</v>
      </c>
      <c r="L11" t="str">
        <f t="shared" si="4"/>
        <v>お客さん</v>
      </c>
      <c r="M11" t="s">
        <v>79</v>
      </c>
      <c r="N11" s="8">
        <v>1.7529999999999999</v>
      </c>
      <c r="O11" s="8">
        <v>2.3479999999999999</v>
      </c>
      <c r="P11" t="str">
        <f t="shared" si="5"/>
        <v>audio/10_r1_plausible.wav</v>
      </c>
      <c r="Q11" t="str">
        <f t="shared" si="6"/>
        <v>audio/10_r2.wav</v>
      </c>
    </row>
    <row r="12" spans="1:17" x14ac:dyDescent="0.2">
      <c r="A12" s="3">
        <v>11</v>
      </c>
      <c r="B12" s="3" t="s">
        <v>27</v>
      </c>
      <c r="C12" s="3" t="s">
        <v>28</v>
      </c>
      <c r="D12" s="3" t="s">
        <v>133</v>
      </c>
      <c r="E12" s="3" t="s">
        <v>30</v>
      </c>
      <c r="F12" s="3" t="s">
        <v>92</v>
      </c>
      <c r="G12" s="3" t="s">
        <v>118</v>
      </c>
      <c r="H12" t="str">
        <f t="shared" si="0"/>
        <v>生徒が教師に</v>
      </c>
      <c r="I12" t="str">
        <f t="shared" si="1"/>
        <v>丁寧に教えられたみたいだ</v>
      </c>
      <c r="J12" t="str">
        <f t="shared" si="2"/>
        <v>誰が教えたか？</v>
      </c>
      <c r="K12" t="str">
        <f t="shared" si="3"/>
        <v>教師</v>
      </c>
      <c r="L12" t="str">
        <f t="shared" si="4"/>
        <v>生徒</v>
      </c>
      <c r="M12" t="s">
        <v>79</v>
      </c>
      <c r="N12" s="8">
        <v>1.585</v>
      </c>
      <c r="O12" s="8">
        <v>2.3450000000000002</v>
      </c>
      <c r="P12" t="str">
        <f t="shared" si="5"/>
        <v>audio/11_r1_plausible.wav</v>
      </c>
      <c r="Q12" t="str">
        <f t="shared" si="6"/>
        <v>audio/11_r2.wav</v>
      </c>
    </row>
    <row r="13" spans="1:17" x14ac:dyDescent="0.2">
      <c r="A13" s="3">
        <v>12</v>
      </c>
      <c r="B13" s="3" t="s">
        <v>32</v>
      </c>
      <c r="C13" s="3" t="s">
        <v>33</v>
      </c>
      <c r="D13" s="3" t="s">
        <v>127</v>
      </c>
      <c r="E13" s="3" t="s">
        <v>29</v>
      </c>
      <c r="F13" s="3" t="s">
        <v>93</v>
      </c>
      <c r="G13" s="3" t="s">
        <v>146</v>
      </c>
      <c r="H13" t="str">
        <f t="shared" si="0"/>
        <v>小学生が先生に</v>
      </c>
      <c r="I13" t="str">
        <f t="shared" si="1"/>
        <v>厳しく叱られたそうだ</v>
      </c>
      <c r="J13" t="str">
        <f t="shared" si="2"/>
        <v>誰が叱ったか？</v>
      </c>
      <c r="K13" t="str">
        <f t="shared" si="3"/>
        <v>先生</v>
      </c>
      <c r="L13" t="str">
        <f t="shared" si="4"/>
        <v>小学生</v>
      </c>
      <c r="M13" t="s">
        <v>79</v>
      </c>
      <c r="N13" s="8">
        <v>1.9159999999999999</v>
      </c>
      <c r="O13" s="8">
        <v>1.98</v>
      </c>
      <c r="P13" t="str">
        <f t="shared" si="5"/>
        <v>audio/12_r1_plausible.wav</v>
      </c>
      <c r="Q13" t="str">
        <f t="shared" si="6"/>
        <v>audio/12_r2.wav</v>
      </c>
    </row>
    <row r="14" spans="1:17" x14ac:dyDescent="0.2">
      <c r="A14" s="3">
        <v>13</v>
      </c>
      <c r="B14" s="3" t="s">
        <v>35</v>
      </c>
      <c r="C14" s="3" t="s">
        <v>36</v>
      </c>
      <c r="D14" s="3" t="s">
        <v>134</v>
      </c>
      <c r="E14" s="3" t="s">
        <v>34</v>
      </c>
      <c r="F14" s="3" t="s">
        <v>94</v>
      </c>
      <c r="G14" s="3" t="s">
        <v>117</v>
      </c>
      <c r="H14" t="str">
        <f t="shared" si="0"/>
        <v>大学生が教授に</v>
      </c>
      <c r="I14" t="str">
        <f t="shared" si="1"/>
        <v>大袈裟に褒められたそうだ</v>
      </c>
      <c r="J14" t="str">
        <f t="shared" si="2"/>
        <v>誰が褒めたか？</v>
      </c>
      <c r="K14" t="str">
        <f t="shared" si="3"/>
        <v>教授</v>
      </c>
      <c r="L14" t="str">
        <f t="shared" si="4"/>
        <v>大学生</v>
      </c>
      <c r="M14" t="s">
        <v>79</v>
      </c>
      <c r="N14" s="8">
        <v>1.7589999999999999</v>
      </c>
      <c r="O14" s="8">
        <v>1.9710000000000001</v>
      </c>
      <c r="P14" t="str">
        <f t="shared" si="5"/>
        <v>audio/13_r1_plausible.wav</v>
      </c>
      <c r="Q14" t="str">
        <f t="shared" si="6"/>
        <v>audio/13_r2.wav</v>
      </c>
    </row>
    <row r="15" spans="1:17" x14ac:dyDescent="0.2">
      <c r="A15" s="3">
        <v>14</v>
      </c>
      <c r="B15" s="3" t="s">
        <v>54</v>
      </c>
      <c r="C15" s="3" t="s">
        <v>55</v>
      </c>
      <c r="D15" s="3" t="s">
        <v>130</v>
      </c>
      <c r="E15" s="3" t="s">
        <v>31</v>
      </c>
      <c r="F15" s="3" t="s">
        <v>95</v>
      </c>
      <c r="G15" s="3" t="s">
        <v>117</v>
      </c>
      <c r="H15" t="str">
        <f t="shared" si="0"/>
        <v>少年がコーチに</v>
      </c>
      <c r="I15" t="str">
        <f>$D15 &amp; $F15 &amp; $G15</f>
        <v>しっかりと指導されたそうだ</v>
      </c>
      <c r="J15" t="str">
        <f t="shared" si="2"/>
        <v>誰が指導したか？</v>
      </c>
      <c r="K15" t="str">
        <f t="shared" si="3"/>
        <v>コーチ</v>
      </c>
      <c r="L15" t="str">
        <f t="shared" si="4"/>
        <v>少年</v>
      </c>
      <c r="M15" t="s">
        <v>79</v>
      </c>
      <c r="N15" s="8">
        <v>1.663</v>
      </c>
      <c r="O15" s="8">
        <v>2.194</v>
      </c>
      <c r="P15" t="str">
        <f t="shared" si="5"/>
        <v>audio/14_r1_plausible.wav</v>
      </c>
      <c r="Q15" t="str">
        <f t="shared" si="6"/>
        <v>audio/14_r2.wav</v>
      </c>
    </row>
    <row r="16" spans="1:17" x14ac:dyDescent="0.2">
      <c r="A16" s="3">
        <v>15</v>
      </c>
      <c r="B16" s="3" t="s">
        <v>57</v>
      </c>
      <c r="C16" s="3" t="s">
        <v>58</v>
      </c>
      <c r="D16" s="3" t="s">
        <v>136</v>
      </c>
      <c r="E16" s="3" t="s">
        <v>56</v>
      </c>
      <c r="F16" s="3" t="s">
        <v>96</v>
      </c>
      <c r="G16" s="3" t="s">
        <v>118</v>
      </c>
      <c r="H16" t="str">
        <f>$C16 &amp; "が" &amp; $B16 &amp; "に"</f>
        <v>弟子が師匠に</v>
      </c>
      <c r="I16" t="str">
        <f t="shared" si="1"/>
        <v>やっとのことで認められたみたいだ</v>
      </c>
      <c r="J16" t="str">
        <f t="shared" si="2"/>
        <v>誰が認めたか？</v>
      </c>
      <c r="K16" t="str">
        <f t="shared" si="3"/>
        <v>師匠</v>
      </c>
      <c r="L16" t="str">
        <f t="shared" si="4"/>
        <v>弟子</v>
      </c>
      <c r="M16" t="s">
        <v>79</v>
      </c>
      <c r="N16" s="8">
        <v>1.44</v>
      </c>
      <c r="O16" s="8">
        <v>2.56</v>
      </c>
      <c r="P16" t="str">
        <f t="shared" si="5"/>
        <v>audio/15_r1_plausible.wav</v>
      </c>
      <c r="Q16" t="str">
        <f t="shared" si="6"/>
        <v>audio/15_r2.wav</v>
      </c>
    </row>
    <row r="17" spans="1:17" x14ac:dyDescent="0.2">
      <c r="A17" s="3">
        <v>16</v>
      </c>
      <c r="B17" s="3" t="s">
        <v>49</v>
      </c>
      <c r="C17" s="3" t="s">
        <v>50</v>
      </c>
      <c r="D17" s="3" t="s">
        <v>144</v>
      </c>
      <c r="E17" s="3" t="s">
        <v>51</v>
      </c>
      <c r="F17" s="3" t="s">
        <v>97</v>
      </c>
      <c r="G17" s="3" t="s">
        <v>117</v>
      </c>
      <c r="H17" t="str">
        <f t="shared" si="0"/>
        <v>上司が部下に</v>
      </c>
      <c r="I17" t="str">
        <f t="shared" si="1"/>
        <v>広く尊敬されたそうだ</v>
      </c>
      <c r="J17" t="str">
        <f t="shared" si="2"/>
        <v>誰が尊敬したか？</v>
      </c>
      <c r="K17" t="str">
        <f t="shared" si="3"/>
        <v>部下</v>
      </c>
      <c r="L17" t="str">
        <f t="shared" si="4"/>
        <v>上司</v>
      </c>
      <c r="M17" t="s">
        <v>79</v>
      </c>
      <c r="N17" s="8">
        <v>1.405</v>
      </c>
      <c r="O17" s="8">
        <v>2.02</v>
      </c>
      <c r="P17" t="str">
        <f t="shared" si="5"/>
        <v>audio/16_r1_plausible.wav</v>
      </c>
      <c r="Q17" t="str">
        <f t="shared" si="6"/>
        <v>audio/16_r2.wav</v>
      </c>
    </row>
    <row r="18" spans="1:17" x14ac:dyDescent="0.2">
      <c r="A18" s="3">
        <v>17</v>
      </c>
      <c r="B18" s="3" t="s">
        <v>62</v>
      </c>
      <c r="C18" s="3" t="s">
        <v>63</v>
      </c>
      <c r="D18" s="3" t="s">
        <v>137</v>
      </c>
      <c r="E18" s="3" t="s">
        <v>64</v>
      </c>
      <c r="F18" s="3" t="s">
        <v>98</v>
      </c>
      <c r="G18" s="3" t="s">
        <v>118</v>
      </c>
      <c r="H18" t="str">
        <f t="shared" si="0"/>
        <v>秘書が社長に</v>
      </c>
      <c r="I18" t="str">
        <f t="shared" si="1"/>
        <v>頻繁に呼ばれたみたいだ</v>
      </c>
      <c r="J18" t="str">
        <f t="shared" si="2"/>
        <v>誰が呼んだか？</v>
      </c>
      <c r="K18" t="str">
        <f t="shared" si="3"/>
        <v>社長</v>
      </c>
      <c r="L18" t="str">
        <f t="shared" si="4"/>
        <v>秘書</v>
      </c>
      <c r="M18" t="s">
        <v>79</v>
      </c>
      <c r="N18" s="8">
        <v>1.44</v>
      </c>
      <c r="O18" s="8">
        <v>2.11</v>
      </c>
      <c r="P18" t="str">
        <f t="shared" si="5"/>
        <v>audio/17_r1_plausible.wav</v>
      </c>
      <c r="Q18" t="str">
        <f t="shared" si="6"/>
        <v>audio/17_r2.wav</v>
      </c>
    </row>
    <row r="19" spans="1:17" x14ac:dyDescent="0.2">
      <c r="A19" s="3">
        <v>18</v>
      </c>
      <c r="B19" s="3" t="s">
        <v>37</v>
      </c>
      <c r="C19" s="3" t="s">
        <v>38</v>
      </c>
      <c r="D19" s="3" t="s">
        <v>138</v>
      </c>
      <c r="E19" s="3" t="s">
        <v>39</v>
      </c>
      <c r="F19" s="3" t="s">
        <v>99</v>
      </c>
      <c r="G19" s="3" t="s">
        <v>118</v>
      </c>
      <c r="H19" t="str">
        <f t="shared" si="0"/>
        <v>弁護士が被害者に</v>
      </c>
      <c r="I19" t="str">
        <f t="shared" si="1"/>
        <v>良い条件で雇われたみたいだ</v>
      </c>
      <c r="J19" t="str">
        <f t="shared" si="2"/>
        <v>誰が雇ったか？</v>
      </c>
      <c r="K19" t="str">
        <f t="shared" si="3"/>
        <v>被害者</v>
      </c>
      <c r="L19" t="str">
        <f t="shared" si="4"/>
        <v>弁護士</v>
      </c>
      <c r="M19" t="s">
        <v>79</v>
      </c>
      <c r="N19" s="8">
        <v>1.7150000000000001</v>
      </c>
      <c r="O19" s="8">
        <v>2.4900000000000002</v>
      </c>
      <c r="P19" t="str">
        <f t="shared" si="5"/>
        <v>audio/18_r1_plausible.wav</v>
      </c>
      <c r="Q19" t="str">
        <f t="shared" si="6"/>
        <v>audio/18_r2.wav</v>
      </c>
    </row>
    <row r="20" spans="1:17" x14ac:dyDescent="0.2">
      <c r="A20" s="3">
        <v>19</v>
      </c>
      <c r="B20" s="3" t="s">
        <v>40</v>
      </c>
      <c r="C20" s="3" t="s">
        <v>41</v>
      </c>
      <c r="D20" s="3" t="s">
        <v>142</v>
      </c>
      <c r="E20" s="3" t="s">
        <v>42</v>
      </c>
      <c r="F20" s="3" t="s">
        <v>100</v>
      </c>
      <c r="G20" s="3" t="s">
        <v>116</v>
      </c>
      <c r="H20" t="str">
        <f t="shared" si="0"/>
        <v>お年寄りがお兄さんに</v>
      </c>
      <c r="I20" t="str">
        <f t="shared" si="1"/>
        <v>親切に助けられたらしい</v>
      </c>
      <c r="J20" t="str">
        <f t="shared" si="2"/>
        <v>誰が助けたか？</v>
      </c>
      <c r="K20" t="str">
        <f t="shared" si="3"/>
        <v>お兄さん</v>
      </c>
      <c r="L20" t="str">
        <f t="shared" si="4"/>
        <v>お年寄り</v>
      </c>
      <c r="M20" t="s">
        <v>79</v>
      </c>
      <c r="N20" s="8">
        <v>1.9239999999999999</v>
      </c>
      <c r="O20" s="8">
        <v>2.339</v>
      </c>
      <c r="P20" t="str">
        <f t="shared" si="5"/>
        <v>audio/19_r1_plausible.wav</v>
      </c>
      <c r="Q20" t="str">
        <f t="shared" si="6"/>
        <v>audio/19_r2.wav</v>
      </c>
    </row>
    <row r="21" spans="1:17" x14ac:dyDescent="0.2">
      <c r="A21" s="3">
        <v>20</v>
      </c>
      <c r="B21" s="3" t="s">
        <v>47</v>
      </c>
      <c r="C21" s="3" t="s">
        <v>44</v>
      </c>
      <c r="D21" s="3" t="s">
        <v>140</v>
      </c>
      <c r="E21" s="3" t="s">
        <v>43</v>
      </c>
      <c r="F21" s="3" t="s">
        <v>101</v>
      </c>
      <c r="G21" s="3" t="s">
        <v>147</v>
      </c>
      <c r="H21" t="str">
        <f t="shared" si="0"/>
        <v>おばあさんがヘルパーに</v>
      </c>
      <c r="I21" t="str">
        <f t="shared" si="1"/>
        <v>素早く手伝われたみたいだ</v>
      </c>
      <c r="J21" t="str">
        <f t="shared" si="2"/>
        <v>誰が手伝ったか？</v>
      </c>
      <c r="K21" t="str">
        <f t="shared" si="3"/>
        <v>ヘルパー</v>
      </c>
      <c r="L21" t="str">
        <f t="shared" si="4"/>
        <v>おばあさん</v>
      </c>
      <c r="M21" t="s">
        <v>79</v>
      </c>
      <c r="N21" s="8">
        <v>1.7789999999999999</v>
      </c>
      <c r="O21" s="8">
        <v>2.331</v>
      </c>
      <c r="P21" t="str">
        <f t="shared" si="5"/>
        <v>audio/20_r1_plausible.wav</v>
      </c>
      <c r="Q21" t="str">
        <f t="shared" si="6"/>
        <v>audio/20_r2.wav</v>
      </c>
    </row>
    <row r="22" spans="1:17" x14ac:dyDescent="0.2">
      <c r="A22" s="3">
        <v>21</v>
      </c>
      <c r="B22" s="3" t="s">
        <v>45</v>
      </c>
      <c r="C22" s="3" t="s">
        <v>48</v>
      </c>
      <c r="D22" s="3" t="s">
        <v>141</v>
      </c>
      <c r="E22" s="3" t="s">
        <v>46</v>
      </c>
      <c r="F22" s="3" t="s">
        <v>102</v>
      </c>
      <c r="G22" s="3" t="s">
        <v>117</v>
      </c>
      <c r="H22" t="str">
        <f t="shared" si="0"/>
        <v>おじいさんが介護士に</v>
      </c>
      <c r="I22" t="str">
        <f t="shared" si="1"/>
        <v>手際よく世話されたそうだ</v>
      </c>
      <c r="J22" t="str">
        <f t="shared" si="2"/>
        <v>誰が世話したか？</v>
      </c>
      <c r="K22" t="str">
        <f t="shared" si="3"/>
        <v>介護士</v>
      </c>
      <c r="L22" t="str">
        <f t="shared" si="4"/>
        <v>おじいさん</v>
      </c>
      <c r="M22" t="s">
        <v>79</v>
      </c>
      <c r="N22" s="8">
        <v>1.8340000000000001</v>
      </c>
      <c r="O22" s="8">
        <v>2.1440000000000001</v>
      </c>
      <c r="P22" t="str">
        <f t="shared" si="5"/>
        <v>audio/21_r1_plausible.wav</v>
      </c>
      <c r="Q22" t="str">
        <f t="shared" si="6"/>
        <v>audio/21_r2.wav</v>
      </c>
    </row>
    <row r="23" spans="1:17" x14ac:dyDescent="0.2">
      <c r="A23" s="3">
        <v>22</v>
      </c>
      <c r="B23" s="3" t="s">
        <v>65</v>
      </c>
      <c r="C23" s="3" t="s">
        <v>66</v>
      </c>
      <c r="D23" s="3" t="s">
        <v>143</v>
      </c>
      <c r="E23" s="3" t="s">
        <v>67</v>
      </c>
      <c r="F23" s="3" t="s">
        <v>103</v>
      </c>
      <c r="G23" s="3" t="s">
        <v>145</v>
      </c>
      <c r="H23" t="str">
        <f t="shared" si="0"/>
        <v>芸能人がファンに</v>
      </c>
      <c r="I23" t="str">
        <f t="shared" si="1"/>
        <v>密かに盗撮されたらしい</v>
      </c>
      <c r="J23" t="str">
        <f t="shared" si="2"/>
        <v>誰が盗撮したか？</v>
      </c>
      <c r="K23" t="str">
        <f t="shared" si="3"/>
        <v>ファン</v>
      </c>
      <c r="L23" t="str">
        <f t="shared" si="4"/>
        <v>芸能人</v>
      </c>
      <c r="M23" t="s">
        <v>79</v>
      </c>
      <c r="N23" s="8">
        <v>1.718</v>
      </c>
      <c r="O23" s="8">
        <v>2.2839999999999998</v>
      </c>
      <c r="P23" t="str">
        <f t="shared" si="5"/>
        <v>audio/22_r1_plausible.wav</v>
      </c>
      <c r="Q23" t="str">
        <f t="shared" si="6"/>
        <v>audio/22_r2.wav</v>
      </c>
    </row>
    <row r="24" spans="1:17" x14ac:dyDescent="0.2">
      <c r="A24" s="3">
        <v>23</v>
      </c>
      <c r="B24" s="3" t="s">
        <v>70</v>
      </c>
      <c r="C24" s="3" t="s">
        <v>69</v>
      </c>
      <c r="D24" s="3" t="s">
        <v>141</v>
      </c>
      <c r="E24" s="3" t="s">
        <v>68</v>
      </c>
      <c r="F24" s="3" t="s">
        <v>104</v>
      </c>
      <c r="G24" s="3" t="s">
        <v>146</v>
      </c>
      <c r="H24" t="str">
        <f t="shared" si="0"/>
        <v>女優がカメラマンに</v>
      </c>
      <c r="I24" t="str">
        <f t="shared" si="1"/>
        <v>手際よく撮影されたそうだ</v>
      </c>
      <c r="J24" t="str">
        <f t="shared" si="2"/>
        <v>誰が撮影したか？</v>
      </c>
      <c r="K24" t="str">
        <f t="shared" si="3"/>
        <v>カメラマン</v>
      </c>
      <c r="L24" t="str">
        <f t="shared" si="4"/>
        <v>女優</v>
      </c>
      <c r="M24" t="s">
        <v>79</v>
      </c>
      <c r="N24" s="8">
        <v>1.7529999999999999</v>
      </c>
      <c r="O24" s="8">
        <v>2.2000000000000002</v>
      </c>
      <c r="P24" t="str">
        <f t="shared" si="5"/>
        <v>audio/23_r1_plausible.wav</v>
      </c>
      <c r="Q24" t="str">
        <f t="shared" si="6"/>
        <v>audio/23_r2.wav</v>
      </c>
    </row>
    <row r="25" spans="1:17" x14ac:dyDescent="0.2">
      <c r="A25" s="3">
        <v>24</v>
      </c>
      <c r="B25" s="3" t="s">
        <v>71</v>
      </c>
      <c r="C25" s="3" t="s">
        <v>73</v>
      </c>
      <c r="D25" s="3" t="s">
        <v>135</v>
      </c>
      <c r="E25" s="3" t="s">
        <v>72</v>
      </c>
      <c r="F25" s="3" t="s">
        <v>105</v>
      </c>
      <c r="G25" s="3" t="s">
        <v>117</v>
      </c>
      <c r="H25" t="str">
        <f t="shared" si="0"/>
        <v>大臣が記者に</v>
      </c>
      <c r="I25" t="str">
        <f t="shared" si="1"/>
        <v>事細かに質問されたそうだ</v>
      </c>
      <c r="J25" t="str">
        <f t="shared" si="2"/>
        <v>誰が質問したか？</v>
      </c>
      <c r="K25" t="str">
        <f t="shared" si="3"/>
        <v>記者</v>
      </c>
      <c r="L25" t="str">
        <f t="shared" si="4"/>
        <v>大臣</v>
      </c>
      <c r="M25" t="s">
        <v>79</v>
      </c>
      <c r="N25" s="8">
        <v>1.5009999999999999</v>
      </c>
      <c r="O25" s="8">
        <v>2.3540000000000001</v>
      </c>
      <c r="P25" t="str">
        <f t="shared" si="5"/>
        <v>audio/24_r1_plausible.wav</v>
      </c>
      <c r="Q25" t="str">
        <f t="shared" si="6"/>
        <v>audio/24_r2.wav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17406-D11E-8A4C-BA70-98240B6D62F0}">
  <dimension ref="A1:Q25"/>
  <sheetViews>
    <sheetView zoomScale="70" zoomScaleNormal="70" workbookViewId="0">
      <pane xSplit="1" topLeftCell="H1" activePane="topRight" state="frozen"/>
      <selection activeCell="N10" sqref="N10"/>
      <selection pane="topRight" activeCell="H10" sqref="H10:Q10"/>
    </sheetView>
  </sheetViews>
  <sheetFormatPr baseColWidth="10" defaultColWidth="10.6640625" defaultRowHeight="16" x14ac:dyDescent="0.2"/>
  <cols>
    <col min="2" max="2" width="17.83203125" customWidth="1"/>
    <col min="3" max="3" width="17.5" customWidth="1"/>
    <col min="4" max="4" width="16.6640625" customWidth="1"/>
    <col min="5" max="5" width="15.83203125" customWidth="1"/>
    <col min="6" max="6" width="20" customWidth="1"/>
    <col min="7" max="7" width="14.1640625" customWidth="1"/>
    <col min="8" max="8" width="27" customWidth="1"/>
    <col min="9" max="9" width="38.6640625" customWidth="1"/>
    <col min="10" max="10" width="30.6640625" customWidth="1"/>
    <col min="11" max="11" width="12.83203125" customWidth="1"/>
    <col min="12" max="12" width="14.1640625" customWidth="1"/>
    <col min="14" max="15" width="10.6640625" style="8"/>
    <col min="16" max="16" width="23.33203125" customWidth="1"/>
    <col min="17" max="17" width="25.83203125" customWidth="1"/>
  </cols>
  <sheetData>
    <row r="1" spans="1:17" x14ac:dyDescent="0.2">
      <c r="A1" t="s">
        <v>76</v>
      </c>
      <c r="B1" t="s">
        <v>77</v>
      </c>
      <c r="C1" t="s">
        <v>78</v>
      </c>
      <c r="D1" s="4" t="s">
        <v>125</v>
      </c>
      <c r="E1" t="s">
        <v>106</v>
      </c>
      <c r="F1" t="s">
        <v>81</v>
      </c>
      <c r="G1" t="s">
        <v>115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s="8" t="s">
        <v>369</v>
      </c>
      <c r="O1" s="8" t="s">
        <v>370</v>
      </c>
      <c r="P1" t="s">
        <v>371</v>
      </c>
      <c r="Q1" t="s">
        <v>372</v>
      </c>
    </row>
    <row r="2" spans="1:17" x14ac:dyDescent="0.2">
      <c r="A2" s="3">
        <v>1</v>
      </c>
      <c r="B2" s="3" t="s">
        <v>0</v>
      </c>
      <c r="C2" s="3" t="s">
        <v>2</v>
      </c>
      <c r="D2" s="3" t="s">
        <v>126</v>
      </c>
      <c r="E2" s="3" t="s">
        <v>4</v>
      </c>
      <c r="F2" s="3" t="s">
        <v>82</v>
      </c>
      <c r="G2" s="3" t="s">
        <v>116</v>
      </c>
      <c r="H2" t="str">
        <f>$B2 &amp; "が" &amp; $C2 &amp; "に"</f>
        <v>母親が赤ちゃんに</v>
      </c>
      <c r="I2" t="str">
        <f>$D2 &amp; $F2 &amp; $G2</f>
        <v>やさしく抱き上げられたらしい</v>
      </c>
      <c r="J2" t="str">
        <f>"誰が" &amp; $E2 &amp; "か？"</f>
        <v>誰が抱き上げたか？</v>
      </c>
      <c r="K2" t="str">
        <f>$B2</f>
        <v>母親</v>
      </c>
      <c r="L2" t="str">
        <f>$C2</f>
        <v>赤ちゃん</v>
      </c>
      <c r="M2" t="s">
        <v>80</v>
      </c>
      <c r="N2" s="8">
        <v>1.724</v>
      </c>
      <c r="O2" s="8">
        <v>2.3250000000000002</v>
      </c>
      <c r="P2" t="str">
        <f>"audio/" &amp; $A2 &amp; "_r1_implausible.wav"</f>
        <v>audio/1_r1_implausible.wav</v>
      </c>
      <c r="Q2" t="str">
        <f>"audio/" &amp; $A2 &amp; "_r2.wav"</f>
        <v>audio/1_r2.wav</v>
      </c>
    </row>
    <row r="3" spans="1:17" x14ac:dyDescent="0.2">
      <c r="A3" s="3">
        <v>2</v>
      </c>
      <c r="B3" s="3" t="s">
        <v>5</v>
      </c>
      <c r="C3" s="3" t="s">
        <v>8</v>
      </c>
      <c r="D3" s="3" t="s">
        <v>127</v>
      </c>
      <c r="E3" s="3" t="s">
        <v>52</v>
      </c>
      <c r="F3" s="3" t="s">
        <v>83</v>
      </c>
      <c r="G3" s="3" t="s">
        <v>145</v>
      </c>
      <c r="H3" t="str">
        <f t="shared" ref="H3:H25" si="0">$B3 &amp; "が" &amp; $C3 &amp; "に"</f>
        <v>父親が男の子に</v>
      </c>
      <c r="I3" t="str">
        <f t="shared" ref="I3:I25" si="1">$D3 &amp; $F3 &amp; $G3</f>
        <v>厳しく怒られたらしい</v>
      </c>
      <c r="J3" t="str">
        <f t="shared" ref="J3:J25" si="2">"誰が" &amp; $E3 &amp; "か？"</f>
        <v>誰が怒ったか？</v>
      </c>
      <c r="K3" t="str">
        <f t="shared" ref="K3:K25" si="3">$B3</f>
        <v>父親</v>
      </c>
      <c r="L3" t="str">
        <f t="shared" ref="L3:L25" si="4">$C3</f>
        <v>男の子</v>
      </c>
      <c r="M3" t="s">
        <v>80</v>
      </c>
      <c r="N3" s="8">
        <v>1.89</v>
      </c>
      <c r="O3" s="8">
        <v>2.0489999999999999</v>
      </c>
      <c r="P3" t="str">
        <f t="shared" ref="P3:P25" si="5">"audio/" &amp; $A3 &amp; "_r1_implausible.wav"</f>
        <v>audio/2_r1_implausible.wav</v>
      </c>
      <c r="Q3" t="str">
        <f t="shared" ref="Q3:Q25" si="6">"audio/" &amp; $A3 &amp; "_r2.wav"</f>
        <v>audio/2_r2.wav</v>
      </c>
    </row>
    <row r="4" spans="1:17" x14ac:dyDescent="0.2">
      <c r="A4" s="3">
        <v>3</v>
      </c>
      <c r="B4" s="3" t="s">
        <v>7</v>
      </c>
      <c r="C4" s="3" t="s">
        <v>6</v>
      </c>
      <c r="D4" s="3" t="s">
        <v>129</v>
      </c>
      <c r="E4" s="3" t="s">
        <v>9</v>
      </c>
      <c r="F4" s="3" t="s">
        <v>84</v>
      </c>
      <c r="G4" s="3" t="s">
        <v>117</v>
      </c>
      <c r="H4" t="str">
        <f t="shared" si="0"/>
        <v>保育士が子供に</v>
      </c>
      <c r="I4" t="str">
        <f t="shared" si="1"/>
        <v>とてもかわいがられたそうだ</v>
      </c>
      <c r="J4" t="str">
        <f t="shared" si="2"/>
        <v>誰がかわいがったか？</v>
      </c>
      <c r="K4" t="str">
        <f t="shared" si="3"/>
        <v>保育士</v>
      </c>
      <c r="L4" t="str">
        <f t="shared" si="4"/>
        <v>子供</v>
      </c>
      <c r="M4" t="s">
        <v>80</v>
      </c>
      <c r="N4" s="8">
        <v>1.579</v>
      </c>
      <c r="O4" s="8">
        <v>2.069</v>
      </c>
      <c r="P4" t="str">
        <f t="shared" si="5"/>
        <v>audio/3_r1_implausible.wav</v>
      </c>
      <c r="Q4" t="str">
        <f t="shared" si="6"/>
        <v>audio/3_r2.wav</v>
      </c>
    </row>
    <row r="5" spans="1:17" x14ac:dyDescent="0.2">
      <c r="A5" s="3">
        <v>4</v>
      </c>
      <c r="B5" s="3" t="s">
        <v>53</v>
      </c>
      <c r="C5" s="3" t="s">
        <v>10</v>
      </c>
      <c r="D5" s="3" t="s">
        <v>135</v>
      </c>
      <c r="E5" s="3" t="s">
        <v>11</v>
      </c>
      <c r="F5" s="3" t="s">
        <v>85</v>
      </c>
      <c r="G5" s="3" t="s">
        <v>118</v>
      </c>
      <c r="H5" t="str">
        <f t="shared" si="0"/>
        <v>歯医者が患者に</v>
      </c>
      <c r="I5" t="str">
        <f t="shared" si="1"/>
        <v>事細かに診断されたみたいだ</v>
      </c>
      <c r="J5" t="str">
        <f t="shared" si="2"/>
        <v>誰が診断したか？</v>
      </c>
      <c r="K5" t="str">
        <f t="shared" si="3"/>
        <v>歯医者</v>
      </c>
      <c r="L5" t="str">
        <f t="shared" si="4"/>
        <v>患者</v>
      </c>
      <c r="M5" t="s">
        <v>80</v>
      </c>
      <c r="N5" s="8">
        <v>1.5089999999999999</v>
      </c>
      <c r="O5" s="8">
        <v>2.601</v>
      </c>
      <c r="P5" t="str">
        <f t="shared" si="5"/>
        <v>audio/4_r1_implausible.wav</v>
      </c>
      <c r="Q5" t="str">
        <f t="shared" si="6"/>
        <v>audio/4_r2.wav</v>
      </c>
    </row>
    <row r="6" spans="1:17" x14ac:dyDescent="0.2">
      <c r="A6" s="3">
        <v>5</v>
      </c>
      <c r="B6" s="3" t="s">
        <v>12</v>
      </c>
      <c r="C6" s="3" t="s">
        <v>13</v>
      </c>
      <c r="D6" s="3" t="s">
        <v>126</v>
      </c>
      <c r="E6" s="3" t="s">
        <v>14</v>
      </c>
      <c r="F6" s="3" t="s">
        <v>86</v>
      </c>
      <c r="G6" s="3" t="s">
        <v>117</v>
      </c>
      <c r="H6" t="str">
        <f t="shared" si="0"/>
        <v>看護師が病人に</v>
      </c>
      <c r="I6" t="str">
        <f t="shared" si="1"/>
        <v>やさしく手当されたそうだ</v>
      </c>
      <c r="J6" t="str">
        <f t="shared" si="2"/>
        <v>誰が手当したか？</v>
      </c>
      <c r="K6" t="str">
        <f t="shared" si="3"/>
        <v>看護師</v>
      </c>
      <c r="L6" t="str">
        <f t="shared" si="4"/>
        <v>病人</v>
      </c>
      <c r="M6" t="s">
        <v>80</v>
      </c>
      <c r="N6" s="8">
        <v>1.7150000000000001</v>
      </c>
      <c r="O6" s="8">
        <v>2.0750000000000002</v>
      </c>
      <c r="P6" t="str">
        <f t="shared" si="5"/>
        <v>audio/5_r1_implausible.wav</v>
      </c>
      <c r="Q6" t="str">
        <f t="shared" si="6"/>
        <v>audio/5_r2.wav</v>
      </c>
    </row>
    <row r="7" spans="1:17" x14ac:dyDescent="0.2">
      <c r="A7" s="3">
        <v>6</v>
      </c>
      <c r="B7" s="3" t="s">
        <v>15</v>
      </c>
      <c r="C7" s="3" t="s">
        <v>16</v>
      </c>
      <c r="D7" s="3" t="s">
        <v>131</v>
      </c>
      <c r="E7" s="3" t="s">
        <v>17</v>
      </c>
      <c r="F7" s="3" t="s">
        <v>87</v>
      </c>
      <c r="G7" s="3" t="s">
        <v>116</v>
      </c>
      <c r="H7" t="str">
        <f t="shared" si="0"/>
        <v>警察官が犯人に</v>
      </c>
      <c r="I7" t="str">
        <f t="shared" si="1"/>
        <v>すぐに捕まえられたらしい</v>
      </c>
      <c r="J7" t="str">
        <f t="shared" si="2"/>
        <v>誰が捕まえたか？</v>
      </c>
      <c r="K7" t="str">
        <f t="shared" si="3"/>
        <v>警察官</v>
      </c>
      <c r="L7" t="str">
        <f t="shared" si="4"/>
        <v>犯人</v>
      </c>
      <c r="M7" t="s">
        <v>80</v>
      </c>
      <c r="N7" s="8">
        <v>1.8979999999999999</v>
      </c>
      <c r="O7" s="8">
        <v>2.2989999999999999</v>
      </c>
      <c r="P7" t="str">
        <f t="shared" si="5"/>
        <v>audio/6_r1_implausible.wav</v>
      </c>
      <c r="Q7" t="str">
        <f t="shared" si="6"/>
        <v>audio/6_r2.wav</v>
      </c>
    </row>
    <row r="8" spans="1:17" x14ac:dyDescent="0.2">
      <c r="A8" s="3">
        <v>7</v>
      </c>
      <c r="B8" s="3" t="s">
        <v>22</v>
      </c>
      <c r="C8" s="3" t="s">
        <v>20</v>
      </c>
      <c r="D8" s="3" t="s">
        <v>131</v>
      </c>
      <c r="E8" s="3" t="s">
        <v>21</v>
      </c>
      <c r="F8" s="3" t="s">
        <v>88</v>
      </c>
      <c r="G8" s="3" t="s">
        <v>116</v>
      </c>
      <c r="H8" t="str">
        <f t="shared" si="0"/>
        <v>おまわりさんが強盗に</v>
      </c>
      <c r="I8" t="str">
        <f t="shared" si="1"/>
        <v>すぐに取り押さえられたらしい</v>
      </c>
      <c r="J8" t="str">
        <f t="shared" si="2"/>
        <v>誰が取り押さえたか？</v>
      </c>
      <c r="K8" t="str">
        <f t="shared" si="3"/>
        <v>おまわりさん</v>
      </c>
      <c r="L8" t="str">
        <f t="shared" si="4"/>
        <v>強盗</v>
      </c>
      <c r="M8" t="s">
        <v>80</v>
      </c>
      <c r="N8" s="8">
        <v>1.9159999999999999</v>
      </c>
      <c r="O8" s="8">
        <v>2.395</v>
      </c>
      <c r="P8" t="str">
        <f t="shared" si="5"/>
        <v>audio/7_r1_implausible.wav</v>
      </c>
      <c r="Q8" t="str">
        <f t="shared" si="6"/>
        <v>audio/7_r2.wav</v>
      </c>
    </row>
    <row r="9" spans="1:17" x14ac:dyDescent="0.2">
      <c r="A9" s="3">
        <v>8</v>
      </c>
      <c r="B9" s="3" t="s">
        <v>23</v>
      </c>
      <c r="C9" s="3" t="s">
        <v>18</v>
      </c>
      <c r="D9" s="3" t="s">
        <v>139</v>
      </c>
      <c r="E9" s="3" t="s">
        <v>19</v>
      </c>
      <c r="F9" s="3" t="s">
        <v>89</v>
      </c>
      <c r="G9" s="3" t="s">
        <v>116</v>
      </c>
      <c r="H9" t="str">
        <f t="shared" si="0"/>
        <v>警備員が泥棒に</v>
      </c>
      <c r="I9" t="str">
        <f t="shared" si="1"/>
        <v>必死に追いかけられたらしい</v>
      </c>
      <c r="J9" t="str">
        <f t="shared" si="2"/>
        <v>誰が追いかけたか？</v>
      </c>
      <c r="K9" t="str">
        <f t="shared" si="3"/>
        <v>警備員</v>
      </c>
      <c r="L9" t="str">
        <f t="shared" si="4"/>
        <v>泥棒</v>
      </c>
      <c r="M9" t="s">
        <v>80</v>
      </c>
      <c r="N9" s="8">
        <v>1.8260000000000001</v>
      </c>
      <c r="O9" s="8">
        <v>2.2410000000000001</v>
      </c>
      <c r="P9" t="str">
        <f t="shared" si="5"/>
        <v>audio/8_r1_implausible.wav</v>
      </c>
      <c r="Q9" t="str">
        <f t="shared" si="6"/>
        <v>audio/8_r2.wav</v>
      </c>
    </row>
    <row r="10" spans="1:17" x14ac:dyDescent="0.2">
      <c r="A10" s="3">
        <v>9</v>
      </c>
      <c r="B10" s="3" t="s">
        <v>59</v>
      </c>
      <c r="C10" s="3" t="s">
        <v>60</v>
      </c>
      <c r="D10" s="3" t="s">
        <v>132</v>
      </c>
      <c r="E10" s="3" t="s">
        <v>61</v>
      </c>
      <c r="F10" s="3" t="s">
        <v>90</v>
      </c>
      <c r="G10" s="3" t="s">
        <v>118</v>
      </c>
      <c r="H10" t="str">
        <f t="shared" si="0"/>
        <v>詐欺師が老人に</v>
      </c>
      <c r="I10" t="str">
        <f t="shared" si="1"/>
        <v>まんまと騙されたみたいだ</v>
      </c>
      <c r="J10" t="str">
        <f t="shared" si="2"/>
        <v>誰が騙したか？</v>
      </c>
      <c r="K10" t="str">
        <f t="shared" si="3"/>
        <v>詐欺師</v>
      </c>
      <c r="L10" t="str">
        <f t="shared" si="4"/>
        <v>老人</v>
      </c>
      <c r="M10" t="s">
        <v>80</v>
      </c>
      <c r="N10" s="8">
        <v>1.7150000000000001</v>
      </c>
      <c r="O10" s="8">
        <v>2.165</v>
      </c>
      <c r="P10" t="str">
        <f t="shared" si="5"/>
        <v>audio/9_r1_implausible.wav</v>
      </c>
      <c r="Q10" t="str">
        <f t="shared" si="6"/>
        <v>audio/9_r2.wav</v>
      </c>
    </row>
    <row r="11" spans="1:17" x14ac:dyDescent="0.2">
      <c r="A11" s="3">
        <v>10</v>
      </c>
      <c r="B11" s="3" t="s">
        <v>26</v>
      </c>
      <c r="C11" s="3" t="s">
        <v>24</v>
      </c>
      <c r="D11" s="3" t="s">
        <v>133</v>
      </c>
      <c r="E11" s="3" t="s">
        <v>25</v>
      </c>
      <c r="F11" s="3" t="s">
        <v>91</v>
      </c>
      <c r="G11" s="3" t="s">
        <v>116</v>
      </c>
      <c r="H11" t="str">
        <f t="shared" si="0"/>
        <v>店長がお客さんに</v>
      </c>
      <c r="I11" t="str">
        <f t="shared" si="1"/>
        <v>丁寧に案内されたらしい</v>
      </c>
      <c r="J11" t="str">
        <f t="shared" si="2"/>
        <v>誰が案内したか？</v>
      </c>
      <c r="K11" t="str">
        <f t="shared" si="3"/>
        <v>店長</v>
      </c>
      <c r="L11" t="str">
        <f t="shared" si="4"/>
        <v>お客さん</v>
      </c>
      <c r="M11" t="s">
        <v>80</v>
      </c>
      <c r="N11" s="8">
        <v>1.788</v>
      </c>
      <c r="O11" s="8">
        <v>2.3479999999999999</v>
      </c>
      <c r="P11" t="str">
        <f t="shared" si="5"/>
        <v>audio/10_r1_implausible.wav</v>
      </c>
      <c r="Q11" t="str">
        <f t="shared" si="6"/>
        <v>audio/10_r2.wav</v>
      </c>
    </row>
    <row r="12" spans="1:17" x14ac:dyDescent="0.2">
      <c r="A12" s="3">
        <v>11</v>
      </c>
      <c r="B12" s="3" t="s">
        <v>27</v>
      </c>
      <c r="C12" s="3" t="s">
        <v>28</v>
      </c>
      <c r="D12" s="3" t="s">
        <v>133</v>
      </c>
      <c r="E12" s="3" t="s">
        <v>30</v>
      </c>
      <c r="F12" s="3" t="s">
        <v>92</v>
      </c>
      <c r="G12" s="3" t="s">
        <v>118</v>
      </c>
      <c r="H12" t="str">
        <f t="shared" si="0"/>
        <v>教師が生徒に</v>
      </c>
      <c r="I12" t="str">
        <f t="shared" si="1"/>
        <v>丁寧に教えられたみたいだ</v>
      </c>
      <c r="J12" t="str">
        <f t="shared" si="2"/>
        <v>誰が教えたか？</v>
      </c>
      <c r="K12" t="str">
        <f t="shared" si="3"/>
        <v>教師</v>
      </c>
      <c r="L12" t="str">
        <f t="shared" si="4"/>
        <v>生徒</v>
      </c>
      <c r="M12" t="s">
        <v>80</v>
      </c>
      <c r="N12" s="8">
        <v>1.4950000000000001</v>
      </c>
      <c r="O12" s="8">
        <v>2.3450000000000002</v>
      </c>
      <c r="P12" t="str">
        <f t="shared" si="5"/>
        <v>audio/11_r1_implausible.wav</v>
      </c>
      <c r="Q12" t="str">
        <f t="shared" si="6"/>
        <v>audio/11_r2.wav</v>
      </c>
    </row>
    <row r="13" spans="1:17" x14ac:dyDescent="0.2">
      <c r="A13" s="3">
        <v>12</v>
      </c>
      <c r="B13" s="3" t="s">
        <v>32</v>
      </c>
      <c r="C13" s="3" t="s">
        <v>33</v>
      </c>
      <c r="D13" s="3" t="s">
        <v>127</v>
      </c>
      <c r="E13" s="3" t="s">
        <v>29</v>
      </c>
      <c r="F13" s="3" t="s">
        <v>93</v>
      </c>
      <c r="G13" s="3" t="s">
        <v>146</v>
      </c>
      <c r="H13" t="str">
        <f t="shared" si="0"/>
        <v>先生が小学生に</v>
      </c>
      <c r="I13" t="str">
        <f t="shared" si="1"/>
        <v>厳しく叱られたそうだ</v>
      </c>
      <c r="J13" t="str">
        <f t="shared" si="2"/>
        <v>誰が叱ったか？</v>
      </c>
      <c r="K13" t="str">
        <f t="shared" si="3"/>
        <v>先生</v>
      </c>
      <c r="L13" t="str">
        <f t="shared" si="4"/>
        <v>小学生</v>
      </c>
      <c r="M13" t="s">
        <v>80</v>
      </c>
      <c r="N13" s="8">
        <v>1.9710000000000001</v>
      </c>
      <c r="O13" s="8">
        <v>1.98</v>
      </c>
      <c r="P13" t="str">
        <f t="shared" si="5"/>
        <v>audio/12_r1_implausible.wav</v>
      </c>
      <c r="Q13" t="str">
        <f t="shared" si="6"/>
        <v>audio/12_r2.wav</v>
      </c>
    </row>
    <row r="14" spans="1:17" x14ac:dyDescent="0.2">
      <c r="A14" s="3">
        <v>13</v>
      </c>
      <c r="B14" s="3" t="s">
        <v>35</v>
      </c>
      <c r="C14" s="3" t="s">
        <v>36</v>
      </c>
      <c r="D14" s="3" t="s">
        <v>134</v>
      </c>
      <c r="E14" s="3" t="s">
        <v>34</v>
      </c>
      <c r="F14" s="3" t="s">
        <v>94</v>
      </c>
      <c r="G14" s="3" t="s">
        <v>117</v>
      </c>
      <c r="H14" t="str">
        <f>$B14 &amp; "が" &amp; $C14 &amp; "に"</f>
        <v>教授が大学生に</v>
      </c>
      <c r="I14" t="str">
        <f t="shared" si="1"/>
        <v>大袈裟に褒められたそうだ</v>
      </c>
      <c r="J14" t="str">
        <f t="shared" si="2"/>
        <v>誰が褒めたか？</v>
      </c>
      <c r="K14" t="str">
        <f t="shared" si="3"/>
        <v>教授</v>
      </c>
      <c r="L14" t="str">
        <f t="shared" si="4"/>
        <v>大学生</v>
      </c>
      <c r="M14" t="s">
        <v>80</v>
      </c>
      <c r="N14" s="8">
        <v>1.7729999999999999</v>
      </c>
      <c r="O14" s="8">
        <v>1.9710000000000001</v>
      </c>
      <c r="P14" t="str">
        <f t="shared" si="5"/>
        <v>audio/13_r1_implausible.wav</v>
      </c>
      <c r="Q14" t="str">
        <f t="shared" si="6"/>
        <v>audio/13_r2.wav</v>
      </c>
    </row>
    <row r="15" spans="1:17" x14ac:dyDescent="0.2">
      <c r="A15" s="3">
        <v>14</v>
      </c>
      <c r="B15" s="3" t="s">
        <v>54</v>
      </c>
      <c r="C15" s="3" t="s">
        <v>55</v>
      </c>
      <c r="D15" s="3" t="s">
        <v>130</v>
      </c>
      <c r="E15" s="3" t="s">
        <v>31</v>
      </c>
      <c r="F15" s="3" t="s">
        <v>95</v>
      </c>
      <c r="G15" s="3" t="s">
        <v>117</v>
      </c>
      <c r="H15" t="str">
        <f t="shared" si="0"/>
        <v>コーチが少年に</v>
      </c>
      <c r="I15" t="str">
        <f t="shared" si="1"/>
        <v>しっかりと指導されたそうだ</v>
      </c>
      <c r="J15" t="str">
        <f t="shared" si="2"/>
        <v>誰が指導したか？</v>
      </c>
      <c r="K15" t="str">
        <f t="shared" si="3"/>
        <v>コーチ</v>
      </c>
      <c r="L15" t="str">
        <f t="shared" si="4"/>
        <v>少年</v>
      </c>
      <c r="M15" t="s">
        <v>80</v>
      </c>
      <c r="N15" s="8">
        <v>1.579</v>
      </c>
      <c r="O15" s="8">
        <v>2.194</v>
      </c>
      <c r="P15" t="str">
        <f t="shared" si="5"/>
        <v>audio/14_r1_implausible.wav</v>
      </c>
      <c r="Q15" t="str">
        <f t="shared" si="6"/>
        <v>audio/14_r2.wav</v>
      </c>
    </row>
    <row r="16" spans="1:17" x14ac:dyDescent="0.2">
      <c r="A16" s="3">
        <v>15</v>
      </c>
      <c r="B16" s="3" t="s">
        <v>57</v>
      </c>
      <c r="C16" s="3" t="s">
        <v>58</v>
      </c>
      <c r="D16" s="3" t="s">
        <v>136</v>
      </c>
      <c r="E16" s="3" t="s">
        <v>56</v>
      </c>
      <c r="F16" s="3" t="s">
        <v>96</v>
      </c>
      <c r="G16" s="3" t="s">
        <v>118</v>
      </c>
      <c r="H16" t="str">
        <f t="shared" si="0"/>
        <v>師匠が弟子に</v>
      </c>
      <c r="I16" t="str">
        <f t="shared" si="1"/>
        <v>やっとのことで認められたみたいだ</v>
      </c>
      <c r="J16" t="str">
        <f t="shared" si="2"/>
        <v>誰が認めたか？</v>
      </c>
      <c r="K16" t="str">
        <f t="shared" si="3"/>
        <v>師匠</v>
      </c>
      <c r="L16" t="str">
        <f t="shared" si="4"/>
        <v>弟子</v>
      </c>
      <c r="M16" t="s">
        <v>80</v>
      </c>
      <c r="N16" s="8">
        <v>1.425</v>
      </c>
      <c r="O16" s="8">
        <v>2.56</v>
      </c>
      <c r="P16" t="str">
        <f t="shared" si="5"/>
        <v>audio/15_r1_implausible.wav</v>
      </c>
      <c r="Q16" t="str">
        <f t="shared" si="6"/>
        <v>audio/15_r2.wav</v>
      </c>
    </row>
    <row r="17" spans="1:17" x14ac:dyDescent="0.2">
      <c r="A17" s="3">
        <v>16</v>
      </c>
      <c r="B17" s="3" t="s">
        <v>49</v>
      </c>
      <c r="C17" s="3" t="s">
        <v>50</v>
      </c>
      <c r="D17" s="3" t="s">
        <v>144</v>
      </c>
      <c r="E17" s="3" t="s">
        <v>51</v>
      </c>
      <c r="F17" s="3" t="s">
        <v>97</v>
      </c>
      <c r="G17" s="3" t="s">
        <v>117</v>
      </c>
      <c r="H17" t="str">
        <f t="shared" si="0"/>
        <v>部下が上司に</v>
      </c>
      <c r="I17" t="str">
        <f t="shared" si="1"/>
        <v>広く尊敬されたそうだ</v>
      </c>
      <c r="J17" t="str">
        <f t="shared" si="2"/>
        <v>誰が尊敬したか？</v>
      </c>
      <c r="K17" t="str">
        <f t="shared" si="3"/>
        <v>部下</v>
      </c>
      <c r="L17" t="str">
        <f t="shared" si="4"/>
        <v>上司</v>
      </c>
      <c r="M17" t="s">
        <v>80</v>
      </c>
      <c r="N17" s="8">
        <v>1.466</v>
      </c>
      <c r="O17" s="8">
        <v>2.02</v>
      </c>
      <c r="P17" t="str">
        <f t="shared" si="5"/>
        <v>audio/16_r1_implausible.wav</v>
      </c>
      <c r="Q17" t="str">
        <f t="shared" si="6"/>
        <v>audio/16_r2.wav</v>
      </c>
    </row>
    <row r="18" spans="1:17" x14ac:dyDescent="0.2">
      <c r="A18" s="3">
        <v>17</v>
      </c>
      <c r="B18" s="3" t="s">
        <v>62</v>
      </c>
      <c r="C18" s="3" t="s">
        <v>63</v>
      </c>
      <c r="D18" s="3" t="s">
        <v>137</v>
      </c>
      <c r="E18" s="3" t="s">
        <v>64</v>
      </c>
      <c r="F18" s="3" t="s">
        <v>98</v>
      </c>
      <c r="G18" s="3" t="s">
        <v>118</v>
      </c>
      <c r="H18" t="str">
        <f t="shared" si="0"/>
        <v>社長が秘書に</v>
      </c>
      <c r="I18" t="str">
        <f t="shared" si="1"/>
        <v>頻繁に呼ばれたみたいだ</v>
      </c>
      <c r="J18" t="str">
        <f t="shared" si="2"/>
        <v>誰が呼んだか？</v>
      </c>
      <c r="K18" t="str">
        <f t="shared" si="3"/>
        <v>社長</v>
      </c>
      <c r="L18" t="str">
        <f t="shared" si="4"/>
        <v>秘書</v>
      </c>
      <c r="M18" t="s">
        <v>80</v>
      </c>
      <c r="N18" s="8">
        <v>1.46</v>
      </c>
      <c r="O18" s="8">
        <v>2.11</v>
      </c>
      <c r="P18" t="str">
        <f t="shared" si="5"/>
        <v>audio/17_r1_implausible.wav</v>
      </c>
      <c r="Q18" t="str">
        <f t="shared" si="6"/>
        <v>audio/17_r2.wav</v>
      </c>
    </row>
    <row r="19" spans="1:17" x14ac:dyDescent="0.2">
      <c r="A19" s="3">
        <v>18</v>
      </c>
      <c r="B19" s="3" t="s">
        <v>37</v>
      </c>
      <c r="C19" s="3" t="s">
        <v>38</v>
      </c>
      <c r="D19" s="3" t="s">
        <v>138</v>
      </c>
      <c r="E19" s="3" t="s">
        <v>39</v>
      </c>
      <c r="F19" s="3" t="s">
        <v>99</v>
      </c>
      <c r="G19" s="3" t="s">
        <v>118</v>
      </c>
      <c r="H19" t="str">
        <f t="shared" si="0"/>
        <v>被害者が弁護士に</v>
      </c>
      <c r="I19" t="str">
        <f t="shared" si="1"/>
        <v>良い条件で雇われたみたいだ</v>
      </c>
      <c r="J19" t="str">
        <f t="shared" si="2"/>
        <v>誰が雇ったか？</v>
      </c>
      <c r="K19" t="str">
        <f t="shared" si="3"/>
        <v>被害者</v>
      </c>
      <c r="L19" t="str">
        <f t="shared" si="4"/>
        <v>弁護士</v>
      </c>
      <c r="M19" t="s">
        <v>80</v>
      </c>
      <c r="N19" s="8">
        <v>1.736</v>
      </c>
      <c r="O19" s="8">
        <v>2.4900000000000002</v>
      </c>
      <c r="P19" t="str">
        <f t="shared" si="5"/>
        <v>audio/18_r1_implausible.wav</v>
      </c>
      <c r="Q19" t="str">
        <f t="shared" si="6"/>
        <v>audio/18_r2.wav</v>
      </c>
    </row>
    <row r="20" spans="1:17" x14ac:dyDescent="0.2">
      <c r="A20" s="3">
        <v>19</v>
      </c>
      <c r="B20" s="3" t="s">
        <v>40</v>
      </c>
      <c r="C20" s="3" t="s">
        <v>41</v>
      </c>
      <c r="D20" s="3" t="s">
        <v>142</v>
      </c>
      <c r="E20" s="3" t="s">
        <v>42</v>
      </c>
      <c r="F20" s="3" t="s">
        <v>100</v>
      </c>
      <c r="G20" s="3" t="s">
        <v>116</v>
      </c>
      <c r="H20" t="str">
        <f t="shared" si="0"/>
        <v>お兄さんがお年寄りに</v>
      </c>
      <c r="I20" t="str">
        <f t="shared" si="1"/>
        <v>親切に助けられたらしい</v>
      </c>
      <c r="J20" t="str">
        <f t="shared" si="2"/>
        <v>誰が助けたか？</v>
      </c>
      <c r="K20" t="str">
        <f t="shared" si="3"/>
        <v>お兄さん</v>
      </c>
      <c r="L20" t="str">
        <f t="shared" si="4"/>
        <v>お年寄り</v>
      </c>
      <c r="M20" t="s">
        <v>80</v>
      </c>
      <c r="N20" s="8">
        <v>1.91</v>
      </c>
      <c r="O20" s="8">
        <v>2.339</v>
      </c>
      <c r="P20" t="str">
        <f t="shared" si="5"/>
        <v>audio/19_r1_implausible.wav</v>
      </c>
      <c r="Q20" t="str">
        <f t="shared" si="6"/>
        <v>audio/19_r2.wav</v>
      </c>
    </row>
    <row r="21" spans="1:17" x14ac:dyDescent="0.2">
      <c r="A21" s="3">
        <v>20</v>
      </c>
      <c r="B21" s="3" t="s">
        <v>47</v>
      </c>
      <c r="C21" s="3" t="s">
        <v>44</v>
      </c>
      <c r="D21" s="3" t="s">
        <v>140</v>
      </c>
      <c r="E21" s="3" t="s">
        <v>43</v>
      </c>
      <c r="F21" s="3" t="s">
        <v>101</v>
      </c>
      <c r="G21" s="3" t="s">
        <v>147</v>
      </c>
      <c r="H21" t="str">
        <f t="shared" si="0"/>
        <v>ヘルパーがおばあさんに</v>
      </c>
      <c r="I21" t="str">
        <f t="shared" si="1"/>
        <v>素早く手伝われたみたいだ</v>
      </c>
      <c r="J21" t="str">
        <f t="shared" si="2"/>
        <v>誰が手伝ったか？</v>
      </c>
      <c r="K21" t="str">
        <f t="shared" si="3"/>
        <v>ヘルパー</v>
      </c>
      <c r="L21" t="str">
        <f t="shared" si="4"/>
        <v>おばあさん</v>
      </c>
      <c r="M21" t="s">
        <v>80</v>
      </c>
      <c r="N21" s="8">
        <v>1.84</v>
      </c>
      <c r="O21" s="8">
        <v>2.331</v>
      </c>
      <c r="P21" t="str">
        <f t="shared" si="5"/>
        <v>audio/20_r1_implausible.wav</v>
      </c>
      <c r="Q21" t="str">
        <f t="shared" si="6"/>
        <v>audio/20_r2.wav</v>
      </c>
    </row>
    <row r="22" spans="1:17" x14ac:dyDescent="0.2">
      <c r="A22" s="3">
        <v>21</v>
      </c>
      <c r="B22" s="3" t="s">
        <v>45</v>
      </c>
      <c r="C22" s="3" t="s">
        <v>48</v>
      </c>
      <c r="D22" s="3" t="s">
        <v>141</v>
      </c>
      <c r="E22" s="3" t="s">
        <v>46</v>
      </c>
      <c r="F22" s="3" t="s">
        <v>102</v>
      </c>
      <c r="G22" s="3" t="s">
        <v>117</v>
      </c>
      <c r="H22" t="str">
        <f t="shared" si="0"/>
        <v>介護士がおじいさんに</v>
      </c>
      <c r="I22" t="str">
        <f t="shared" si="1"/>
        <v>手際よく世話されたそうだ</v>
      </c>
      <c r="J22" t="str">
        <f t="shared" si="2"/>
        <v>誰が世話したか？</v>
      </c>
      <c r="K22" t="str">
        <f t="shared" si="3"/>
        <v>介護士</v>
      </c>
      <c r="L22" t="str">
        <f t="shared" si="4"/>
        <v>おじいさん</v>
      </c>
      <c r="M22" t="s">
        <v>80</v>
      </c>
      <c r="N22" s="8">
        <v>1.849</v>
      </c>
      <c r="O22" s="8">
        <v>2.1440000000000001</v>
      </c>
      <c r="P22" t="str">
        <f t="shared" si="5"/>
        <v>audio/21_r1_implausible.wav</v>
      </c>
      <c r="Q22" t="str">
        <f t="shared" si="6"/>
        <v>audio/21_r2.wav</v>
      </c>
    </row>
    <row r="23" spans="1:17" x14ac:dyDescent="0.2">
      <c r="A23" s="3">
        <v>22</v>
      </c>
      <c r="B23" s="3" t="s">
        <v>65</v>
      </c>
      <c r="C23" s="3" t="s">
        <v>66</v>
      </c>
      <c r="D23" s="3" t="s">
        <v>143</v>
      </c>
      <c r="E23" s="3" t="s">
        <v>67</v>
      </c>
      <c r="F23" s="3" t="s">
        <v>103</v>
      </c>
      <c r="G23" s="3" t="s">
        <v>145</v>
      </c>
      <c r="H23" t="str">
        <f t="shared" si="0"/>
        <v>ファンが芸能人に</v>
      </c>
      <c r="I23" t="str">
        <f t="shared" si="1"/>
        <v>密かに盗撮されたらしい</v>
      </c>
      <c r="J23" t="str">
        <f t="shared" si="2"/>
        <v>誰が盗撮したか？</v>
      </c>
      <c r="K23" t="str">
        <f t="shared" si="3"/>
        <v>ファン</v>
      </c>
      <c r="L23" t="str">
        <f t="shared" si="4"/>
        <v>芸能人</v>
      </c>
      <c r="M23" t="s">
        <v>80</v>
      </c>
      <c r="N23" s="8">
        <v>1.736</v>
      </c>
      <c r="O23" s="8">
        <v>2.2839999999999998</v>
      </c>
      <c r="P23" t="str">
        <f t="shared" si="5"/>
        <v>audio/22_r1_implausible.wav</v>
      </c>
      <c r="Q23" t="str">
        <f t="shared" si="6"/>
        <v>audio/22_r2.wav</v>
      </c>
    </row>
    <row r="24" spans="1:17" x14ac:dyDescent="0.2">
      <c r="A24" s="3">
        <v>23</v>
      </c>
      <c r="B24" s="3" t="s">
        <v>70</v>
      </c>
      <c r="C24" s="3" t="s">
        <v>69</v>
      </c>
      <c r="D24" s="3" t="s">
        <v>141</v>
      </c>
      <c r="E24" s="3" t="s">
        <v>68</v>
      </c>
      <c r="F24" s="3" t="s">
        <v>104</v>
      </c>
      <c r="G24" s="3" t="s">
        <v>146</v>
      </c>
      <c r="H24" t="str">
        <f t="shared" si="0"/>
        <v>カメラマンが女優に</v>
      </c>
      <c r="I24" t="str">
        <f t="shared" si="1"/>
        <v>手際よく撮影されたそうだ</v>
      </c>
      <c r="J24" t="str">
        <f t="shared" si="2"/>
        <v>誰が撮影したか？</v>
      </c>
      <c r="K24" t="str">
        <f t="shared" si="3"/>
        <v>カメラマン</v>
      </c>
      <c r="L24" t="str">
        <f t="shared" si="4"/>
        <v>女優</v>
      </c>
      <c r="M24" t="s">
        <v>80</v>
      </c>
      <c r="N24" s="8">
        <v>1.7390000000000001</v>
      </c>
      <c r="O24" s="8">
        <v>2.2000000000000002</v>
      </c>
      <c r="P24" t="str">
        <f t="shared" si="5"/>
        <v>audio/23_r1_implausible.wav</v>
      </c>
      <c r="Q24" t="str">
        <f t="shared" si="6"/>
        <v>audio/23_r2.wav</v>
      </c>
    </row>
    <row r="25" spans="1:17" x14ac:dyDescent="0.2">
      <c r="A25" s="3">
        <v>24</v>
      </c>
      <c r="B25" s="3" t="s">
        <v>71</v>
      </c>
      <c r="C25" s="3" t="s">
        <v>73</v>
      </c>
      <c r="D25" s="3" t="s">
        <v>135</v>
      </c>
      <c r="E25" s="3" t="s">
        <v>72</v>
      </c>
      <c r="F25" s="3" t="s">
        <v>105</v>
      </c>
      <c r="G25" s="3" t="s">
        <v>117</v>
      </c>
      <c r="H25" t="str">
        <f t="shared" si="0"/>
        <v>記者が大臣に</v>
      </c>
      <c r="I25" t="str">
        <f t="shared" si="1"/>
        <v>事細かに質問されたそうだ</v>
      </c>
      <c r="J25" t="str">
        <f t="shared" si="2"/>
        <v>誰が質問したか？</v>
      </c>
      <c r="K25" t="str">
        <f t="shared" si="3"/>
        <v>記者</v>
      </c>
      <c r="L25" t="str">
        <f t="shared" si="4"/>
        <v>大臣</v>
      </c>
      <c r="M25" t="s">
        <v>80</v>
      </c>
      <c r="N25" s="8">
        <v>1.5589999999999999</v>
      </c>
      <c r="O25" s="8">
        <v>2.3540000000000001</v>
      </c>
      <c r="P25" t="str">
        <f t="shared" si="5"/>
        <v>audio/24_r1_implausible.wav</v>
      </c>
      <c r="Q25" t="str">
        <f t="shared" si="6"/>
        <v>audio/24_r2.wav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63399-1402-7646-A442-5EBC5C1CA94F}">
  <dimension ref="A1:Q25"/>
  <sheetViews>
    <sheetView zoomScale="69" zoomScaleNormal="130" workbookViewId="0">
      <pane xSplit="1" topLeftCell="G1" activePane="topRight" state="frozen"/>
      <selection pane="topRight" activeCell="H21" sqref="H21:Q21"/>
    </sheetView>
  </sheetViews>
  <sheetFormatPr baseColWidth="10" defaultColWidth="10.6640625" defaultRowHeight="16" x14ac:dyDescent="0.2"/>
  <cols>
    <col min="2" max="2" width="17.83203125" customWidth="1"/>
    <col min="3" max="3" width="17.5" customWidth="1"/>
    <col min="4" max="4" width="16.6640625" customWidth="1"/>
    <col min="5" max="5" width="15.83203125" customWidth="1"/>
    <col min="6" max="6" width="20" customWidth="1"/>
    <col min="7" max="7" width="14.1640625" customWidth="1"/>
    <col min="8" max="8" width="27" customWidth="1"/>
    <col min="9" max="9" width="30.1640625" customWidth="1"/>
    <col min="10" max="10" width="30.6640625" customWidth="1"/>
    <col min="11" max="11" width="12.83203125" customWidth="1"/>
    <col min="12" max="12" width="14.1640625" customWidth="1"/>
    <col min="16" max="16" width="28" customWidth="1"/>
    <col min="17" max="17" width="27.5" customWidth="1"/>
  </cols>
  <sheetData>
    <row r="1" spans="1:17" x14ac:dyDescent="0.2">
      <c r="A1" t="s">
        <v>76</v>
      </c>
      <c r="B1" t="s">
        <v>77</v>
      </c>
      <c r="C1" t="s">
        <v>78</v>
      </c>
      <c r="D1" s="4" t="s">
        <v>125</v>
      </c>
      <c r="E1" t="s">
        <v>106</v>
      </c>
      <c r="F1" t="s">
        <v>81</v>
      </c>
      <c r="G1" t="s">
        <v>115</v>
      </c>
      <c r="H1" t="s">
        <v>119</v>
      </c>
      <c r="I1" t="s">
        <v>120</v>
      </c>
      <c r="J1" t="s">
        <v>121</v>
      </c>
      <c r="K1" t="s">
        <v>122</v>
      </c>
      <c r="L1" t="s">
        <v>123</v>
      </c>
      <c r="M1" t="s">
        <v>124</v>
      </c>
      <c r="N1" t="s">
        <v>369</v>
      </c>
      <c r="O1" t="s">
        <v>370</v>
      </c>
      <c r="P1" t="s">
        <v>371</v>
      </c>
      <c r="Q1" t="s">
        <v>372</v>
      </c>
    </row>
    <row r="2" spans="1:17" x14ac:dyDescent="0.2">
      <c r="A2" s="3">
        <v>1</v>
      </c>
      <c r="B2" s="3" t="s">
        <v>0</v>
      </c>
      <c r="C2" s="3" t="s">
        <v>2</v>
      </c>
      <c r="D2" s="3" t="s">
        <v>126</v>
      </c>
      <c r="E2" s="3" t="s">
        <v>4</v>
      </c>
      <c r="F2" s="3" t="s">
        <v>82</v>
      </c>
      <c r="G2" s="3" t="s">
        <v>116</v>
      </c>
      <c r="H2" t="str">
        <f>$B2 &amp; "が" &amp; $C2 &amp; "に"</f>
        <v>母親が赤ちゃんに</v>
      </c>
      <c r="I2" t="str">
        <f>$D2 &amp; $F2 &amp; $G2</f>
        <v>やさしく抱き上げられたらしい</v>
      </c>
      <c r="J2" t="str">
        <f>"誰が" &amp; $E2 &amp; "か？"</f>
        <v>誰が抱き上げたか？</v>
      </c>
      <c r="K2" t="str">
        <f>$C2</f>
        <v>赤ちゃん</v>
      </c>
      <c r="L2" t="str">
        <f>$B2</f>
        <v>母親</v>
      </c>
      <c r="M2" t="s">
        <v>79</v>
      </c>
      <c r="N2" s="8">
        <v>1.724</v>
      </c>
      <c r="O2" s="8">
        <v>2.3250000000000002</v>
      </c>
      <c r="P2" t="str">
        <f>"audio/" &amp; $A2 &amp; "_r1_implausible.wav"</f>
        <v>audio/1_r1_implausible.wav</v>
      </c>
      <c r="Q2" t="str">
        <f>"audio/" &amp; $A2 &amp; "_r2.wav"</f>
        <v>audio/1_r2.wav</v>
      </c>
    </row>
    <row r="3" spans="1:17" x14ac:dyDescent="0.2">
      <c r="A3" s="3">
        <v>2</v>
      </c>
      <c r="B3" s="3" t="s">
        <v>5</v>
      </c>
      <c r="C3" s="3" t="s">
        <v>8</v>
      </c>
      <c r="D3" s="3" t="s">
        <v>127</v>
      </c>
      <c r="E3" s="3" t="s">
        <v>52</v>
      </c>
      <c r="F3" s="3" t="s">
        <v>83</v>
      </c>
      <c r="G3" s="3" t="s">
        <v>145</v>
      </c>
      <c r="H3" t="str">
        <f t="shared" ref="H3:H25" si="0">$B3 &amp; "が" &amp; $C3 &amp; "に"</f>
        <v>父親が男の子に</v>
      </c>
      <c r="I3" t="str">
        <f t="shared" ref="I3:I25" si="1">$D3 &amp; $F3 &amp; $G3</f>
        <v>厳しく怒られたらしい</v>
      </c>
      <c r="J3" t="str">
        <f t="shared" ref="J3:J25" si="2">"誰が" &amp; $E3 &amp; "か？"</f>
        <v>誰が怒ったか？</v>
      </c>
      <c r="K3" t="str">
        <f t="shared" ref="K3:K25" si="3">$C3</f>
        <v>男の子</v>
      </c>
      <c r="L3" t="str">
        <f t="shared" ref="L3:L25" si="4">$B3</f>
        <v>父親</v>
      </c>
      <c r="M3" t="s">
        <v>79</v>
      </c>
      <c r="N3" s="8">
        <v>1.89</v>
      </c>
      <c r="O3" s="8">
        <v>2.0489999999999999</v>
      </c>
      <c r="P3" t="str">
        <f t="shared" ref="P3:P25" si="5">"audio/" &amp; $A3 &amp; "_r1_implausible.wav"</f>
        <v>audio/2_r1_implausible.wav</v>
      </c>
      <c r="Q3" t="str">
        <f t="shared" ref="Q3:Q25" si="6">"audio/" &amp; $A3 &amp; "_r2.wav"</f>
        <v>audio/2_r2.wav</v>
      </c>
    </row>
    <row r="4" spans="1:17" x14ac:dyDescent="0.2">
      <c r="A4" s="3">
        <v>3</v>
      </c>
      <c r="B4" s="3" t="s">
        <v>7</v>
      </c>
      <c r="C4" s="3" t="s">
        <v>6</v>
      </c>
      <c r="D4" s="3" t="s">
        <v>129</v>
      </c>
      <c r="E4" s="3" t="s">
        <v>9</v>
      </c>
      <c r="F4" s="3" t="s">
        <v>84</v>
      </c>
      <c r="G4" s="3" t="s">
        <v>117</v>
      </c>
      <c r="H4" t="str">
        <f t="shared" si="0"/>
        <v>保育士が子供に</v>
      </c>
      <c r="I4" t="str">
        <f t="shared" si="1"/>
        <v>とてもかわいがられたそうだ</v>
      </c>
      <c r="J4" t="str">
        <f t="shared" si="2"/>
        <v>誰がかわいがったか？</v>
      </c>
      <c r="K4" t="str">
        <f t="shared" si="3"/>
        <v>子供</v>
      </c>
      <c r="L4" t="str">
        <f t="shared" si="4"/>
        <v>保育士</v>
      </c>
      <c r="M4" t="s">
        <v>79</v>
      </c>
      <c r="N4" s="8">
        <v>1.579</v>
      </c>
      <c r="O4" s="8">
        <v>2.069</v>
      </c>
      <c r="P4" t="str">
        <f t="shared" si="5"/>
        <v>audio/3_r1_implausible.wav</v>
      </c>
      <c r="Q4" t="str">
        <f t="shared" si="6"/>
        <v>audio/3_r2.wav</v>
      </c>
    </row>
    <row r="5" spans="1:17" x14ac:dyDescent="0.2">
      <c r="A5" s="3">
        <v>4</v>
      </c>
      <c r="B5" s="3" t="s">
        <v>53</v>
      </c>
      <c r="C5" s="3" t="s">
        <v>10</v>
      </c>
      <c r="D5" s="3" t="s">
        <v>135</v>
      </c>
      <c r="E5" s="3" t="s">
        <v>11</v>
      </c>
      <c r="F5" s="3" t="s">
        <v>85</v>
      </c>
      <c r="G5" s="3" t="s">
        <v>118</v>
      </c>
      <c r="H5" t="str">
        <f t="shared" si="0"/>
        <v>歯医者が患者に</v>
      </c>
      <c r="I5" t="str">
        <f t="shared" si="1"/>
        <v>事細かに診断されたみたいだ</v>
      </c>
      <c r="J5" t="str">
        <f t="shared" si="2"/>
        <v>誰が診断したか？</v>
      </c>
      <c r="K5" t="str">
        <f t="shared" si="3"/>
        <v>患者</v>
      </c>
      <c r="L5" t="str">
        <f t="shared" si="4"/>
        <v>歯医者</v>
      </c>
      <c r="M5" t="s">
        <v>79</v>
      </c>
      <c r="N5" s="8">
        <v>1.5089999999999999</v>
      </c>
      <c r="O5" s="8">
        <v>2.601</v>
      </c>
      <c r="P5" t="str">
        <f t="shared" si="5"/>
        <v>audio/4_r1_implausible.wav</v>
      </c>
      <c r="Q5" t="str">
        <f t="shared" si="6"/>
        <v>audio/4_r2.wav</v>
      </c>
    </row>
    <row r="6" spans="1:17" x14ac:dyDescent="0.2">
      <c r="A6" s="3">
        <v>5</v>
      </c>
      <c r="B6" s="3" t="s">
        <v>12</v>
      </c>
      <c r="C6" s="3" t="s">
        <v>13</v>
      </c>
      <c r="D6" s="3" t="s">
        <v>126</v>
      </c>
      <c r="E6" s="3" t="s">
        <v>14</v>
      </c>
      <c r="F6" s="3" t="s">
        <v>86</v>
      </c>
      <c r="G6" s="3" t="s">
        <v>117</v>
      </c>
      <c r="H6" t="str">
        <f t="shared" si="0"/>
        <v>看護師が病人に</v>
      </c>
      <c r="I6" t="str">
        <f t="shared" si="1"/>
        <v>やさしく手当されたそうだ</v>
      </c>
      <c r="J6" t="str">
        <f t="shared" si="2"/>
        <v>誰が手当したか？</v>
      </c>
      <c r="K6" t="str">
        <f t="shared" si="3"/>
        <v>病人</v>
      </c>
      <c r="L6" t="str">
        <f t="shared" si="4"/>
        <v>看護師</v>
      </c>
      <c r="M6" t="s">
        <v>79</v>
      </c>
      <c r="N6" s="8">
        <v>1.7150000000000001</v>
      </c>
      <c r="O6" s="8">
        <v>2.0750000000000002</v>
      </c>
      <c r="P6" t="str">
        <f t="shared" si="5"/>
        <v>audio/5_r1_implausible.wav</v>
      </c>
      <c r="Q6" t="str">
        <f t="shared" si="6"/>
        <v>audio/5_r2.wav</v>
      </c>
    </row>
    <row r="7" spans="1:17" x14ac:dyDescent="0.2">
      <c r="A7" s="3">
        <v>6</v>
      </c>
      <c r="B7" s="3" t="s">
        <v>15</v>
      </c>
      <c r="C7" s="3" t="s">
        <v>16</v>
      </c>
      <c r="D7" s="3" t="s">
        <v>131</v>
      </c>
      <c r="E7" s="3" t="s">
        <v>17</v>
      </c>
      <c r="F7" s="3" t="s">
        <v>87</v>
      </c>
      <c r="G7" s="3" t="s">
        <v>116</v>
      </c>
      <c r="H7" t="str">
        <f t="shared" si="0"/>
        <v>警察官が犯人に</v>
      </c>
      <c r="I7" t="str">
        <f t="shared" si="1"/>
        <v>すぐに捕まえられたらしい</v>
      </c>
      <c r="J7" t="str">
        <f t="shared" si="2"/>
        <v>誰が捕まえたか？</v>
      </c>
      <c r="K7" t="str">
        <f t="shared" si="3"/>
        <v>犯人</v>
      </c>
      <c r="L7" t="str">
        <f t="shared" si="4"/>
        <v>警察官</v>
      </c>
      <c r="M7" t="s">
        <v>79</v>
      </c>
      <c r="N7" s="8">
        <v>1.8979999999999999</v>
      </c>
      <c r="O7" s="8">
        <v>2.2989999999999999</v>
      </c>
      <c r="P7" t="str">
        <f t="shared" si="5"/>
        <v>audio/6_r1_implausible.wav</v>
      </c>
      <c r="Q7" t="str">
        <f t="shared" si="6"/>
        <v>audio/6_r2.wav</v>
      </c>
    </row>
    <row r="8" spans="1:17" x14ac:dyDescent="0.2">
      <c r="A8" s="3">
        <v>7</v>
      </c>
      <c r="B8" s="3" t="s">
        <v>22</v>
      </c>
      <c r="C8" s="3" t="s">
        <v>20</v>
      </c>
      <c r="D8" s="3" t="s">
        <v>131</v>
      </c>
      <c r="E8" s="3" t="s">
        <v>21</v>
      </c>
      <c r="F8" s="3" t="s">
        <v>88</v>
      </c>
      <c r="G8" s="3" t="s">
        <v>116</v>
      </c>
      <c r="H8" t="str">
        <f t="shared" si="0"/>
        <v>おまわりさんが強盗に</v>
      </c>
      <c r="I8" t="str">
        <f t="shared" si="1"/>
        <v>すぐに取り押さえられたらしい</v>
      </c>
      <c r="J8" t="str">
        <f t="shared" si="2"/>
        <v>誰が取り押さえたか？</v>
      </c>
      <c r="K8" t="str">
        <f t="shared" si="3"/>
        <v>強盗</v>
      </c>
      <c r="L8" t="str">
        <f t="shared" si="4"/>
        <v>おまわりさん</v>
      </c>
      <c r="M8" t="s">
        <v>79</v>
      </c>
      <c r="N8" s="8">
        <v>1.9159999999999999</v>
      </c>
      <c r="O8" s="8">
        <v>2.395</v>
      </c>
      <c r="P8" t="str">
        <f t="shared" si="5"/>
        <v>audio/7_r1_implausible.wav</v>
      </c>
      <c r="Q8" t="str">
        <f t="shared" si="6"/>
        <v>audio/7_r2.wav</v>
      </c>
    </row>
    <row r="9" spans="1:17" x14ac:dyDescent="0.2">
      <c r="A9" s="3">
        <v>8</v>
      </c>
      <c r="B9" s="3" t="s">
        <v>23</v>
      </c>
      <c r="C9" s="3" t="s">
        <v>18</v>
      </c>
      <c r="D9" s="3" t="s">
        <v>139</v>
      </c>
      <c r="E9" s="3" t="s">
        <v>19</v>
      </c>
      <c r="F9" s="3" t="s">
        <v>89</v>
      </c>
      <c r="G9" s="3" t="s">
        <v>116</v>
      </c>
      <c r="H9" t="str">
        <f t="shared" si="0"/>
        <v>警備員が泥棒に</v>
      </c>
      <c r="I9" t="str">
        <f t="shared" si="1"/>
        <v>必死に追いかけられたらしい</v>
      </c>
      <c r="J9" t="str">
        <f t="shared" si="2"/>
        <v>誰が追いかけたか？</v>
      </c>
      <c r="K9" t="str">
        <f t="shared" si="3"/>
        <v>泥棒</v>
      </c>
      <c r="L9" t="str">
        <f t="shared" si="4"/>
        <v>警備員</v>
      </c>
      <c r="M9" t="s">
        <v>79</v>
      </c>
      <c r="N9" s="8">
        <v>1.8260000000000001</v>
      </c>
      <c r="O9" s="8">
        <v>2.2410000000000001</v>
      </c>
      <c r="P9" t="str">
        <f t="shared" si="5"/>
        <v>audio/8_r1_implausible.wav</v>
      </c>
      <c r="Q9" t="str">
        <f t="shared" si="6"/>
        <v>audio/8_r2.wav</v>
      </c>
    </row>
    <row r="10" spans="1:17" x14ac:dyDescent="0.2">
      <c r="A10" s="3">
        <v>9</v>
      </c>
      <c r="B10" s="3" t="s">
        <v>59</v>
      </c>
      <c r="C10" s="3" t="s">
        <v>60</v>
      </c>
      <c r="D10" s="3" t="s">
        <v>132</v>
      </c>
      <c r="E10" s="3" t="s">
        <v>61</v>
      </c>
      <c r="F10" s="3" t="s">
        <v>90</v>
      </c>
      <c r="G10" s="3" t="s">
        <v>118</v>
      </c>
      <c r="H10" t="str">
        <f t="shared" si="0"/>
        <v>詐欺師が老人に</v>
      </c>
      <c r="I10" t="str">
        <f t="shared" si="1"/>
        <v>まんまと騙されたみたいだ</v>
      </c>
      <c r="J10" t="str">
        <f t="shared" si="2"/>
        <v>誰が騙したか？</v>
      </c>
      <c r="K10" t="str">
        <f t="shared" si="3"/>
        <v>老人</v>
      </c>
      <c r="L10" t="str">
        <f t="shared" si="4"/>
        <v>詐欺師</v>
      </c>
      <c r="M10" t="s">
        <v>79</v>
      </c>
      <c r="N10" s="8">
        <v>1.7150000000000001</v>
      </c>
      <c r="O10" s="8">
        <v>2.165</v>
      </c>
      <c r="P10" t="str">
        <f t="shared" si="5"/>
        <v>audio/9_r1_implausible.wav</v>
      </c>
      <c r="Q10" t="str">
        <f t="shared" si="6"/>
        <v>audio/9_r2.wav</v>
      </c>
    </row>
    <row r="11" spans="1:17" x14ac:dyDescent="0.2">
      <c r="A11" s="3">
        <v>10</v>
      </c>
      <c r="B11" s="3" t="s">
        <v>26</v>
      </c>
      <c r="C11" s="3" t="s">
        <v>24</v>
      </c>
      <c r="D11" s="3" t="s">
        <v>133</v>
      </c>
      <c r="E11" s="3" t="s">
        <v>25</v>
      </c>
      <c r="F11" s="3" t="s">
        <v>91</v>
      </c>
      <c r="G11" s="3" t="s">
        <v>116</v>
      </c>
      <c r="H11" t="str">
        <f t="shared" si="0"/>
        <v>店長がお客さんに</v>
      </c>
      <c r="I11" t="str">
        <f t="shared" si="1"/>
        <v>丁寧に案内されたらしい</v>
      </c>
      <c r="J11" t="str">
        <f t="shared" si="2"/>
        <v>誰が案内したか？</v>
      </c>
      <c r="K11" t="str">
        <f t="shared" si="3"/>
        <v>お客さん</v>
      </c>
      <c r="L11" t="str">
        <f t="shared" si="4"/>
        <v>店長</v>
      </c>
      <c r="M11" t="s">
        <v>79</v>
      </c>
      <c r="N11" s="8">
        <v>1.788</v>
      </c>
      <c r="O11" s="8">
        <v>2.3479999999999999</v>
      </c>
      <c r="P11" t="str">
        <f t="shared" si="5"/>
        <v>audio/10_r1_implausible.wav</v>
      </c>
      <c r="Q11" t="str">
        <f t="shared" si="6"/>
        <v>audio/10_r2.wav</v>
      </c>
    </row>
    <row r="12" spans="1:17" x14ac:dyDescent="0.2">
      <c r="A12" s="3">
        <v>11</v>
      </c>
      <c r="B12" s="3" t="s">
        <v>27</v>
      </c>
      <c r="C12" s="3" t="s">
        <v>28</v>
      </c>
      <c r="D12" s="3" t="s">
        <v>133</v>
      </c>
      <c r="E12" s="3" t="s">
        <v>30</v>
      </c>
      <c r="F12" s="3" t="s">
        <v>92</v>
      </c>
      <c r="G12" s="3" t="s">
        <v>118</v>
      </c>
      <c r="H12" t="str">
        <f t="shared" si="0"/>
        <v>教師が生徒に</v>
      </c>
      <c r="I12" t="str">
        <f t="shared" si="1"/>
        <v>丁寧に教えられたみたいだ</v>
      </c>
      <c r="J12" t="str">
        <f t="shared" si="2"/>
        <v>誰が教えたか？</v>
      </c>
      <c r="K12" t="str">
        <f t="shared" si="3"/>
        <v>生徒</v>
      </c>
      <c r="L12" t="str">
        <f t="shared" si="4"/>
        <v>教師</v>
      </c>
      <c r="M12" t="s">
        <v>79</v>
      </c>
      <c r="N12" s="8">
        <v>1.4950000000000001</v>
      </c>
      <c r="O12" s="8">
        <v>2.3450000000000002</v>
      </c>
      <c r="P12" t="str">
        <f t="shared" si="5"/>
        <v>audio/11_r1_implausible.wav</v>
      </c>
      <c r="Q12" t="str">
        <f t="shared" si="6"/>
        <v>audio/11_r2.wav</v>
      </c>
    </row>
    <row r="13" spans="1:17" x14ac:dyDescent="0.2">
      <c r="A13" s="3">
        <v>12</v>
      </c>
      <c r="B13" s="3" t="s">
        <v>32</v>
      </c>
      <c r="C13" s="3" t="s">
        <v>33</v>
      </c>
      <c r="D13" s="3" t="s">
        <v>127</v>
      </c>
      <c r="E13" s="3" t="s">
        <v>29</v>
      </c>
      <c r="F13" s="3" t="s">
        <v>93</v>
      </c>
      <c r="G13" s="3" t="s">
        <v>146</v>
      </c>
      <c r="H13" t="str">
        <f t="shared" si="0"/>
        <v>先生が小学生に</v>
      </c>
      <c r="I13" t="str">
        <f t="shared" si="1"/>
        <v>厳しく叱られたそうだ</v>
      </c>
      <c r="J13" t="str">
        <f t="shared" si="2"/>
        <v>誰が叱ったか？</v>
      </c>
      <c r="K13" t="str">
        <f t="shared" si="3"/>
        <v>小学生</v>
      </c>
      <c r="L13" t="str">
        <f t="shared" si="4"/>
        <v>先生</v>
      </c>
      <c r="M13" t="s">
        <v>79</v>
      </c>
      <c r="N13" s="8">
        <v>1.9710000000000001</v>
      </c>
      <c r="O13" s="8">
        <v>1.98</v>
      </c>
      <c r="P13" t="str">
        <f t="shared" si="5"/>
        <v>audio/12_r1_implausible.wav</v>
      </c>
      <c r="Q13" t="str">
        <f t="shared" si="6"/>
        <v>audio/12_r2.wav</v>
      </c>
    </row>
    <row r="14" spans="1:17" x14ac:dyDescent="0.2">
      <c r="A14" s="3">
        <v>13</v>
      </c>
      <c r="B14" s="3" t="s">
        <v>35</v>
      </c>
      <c r="C14" s="3" t="s">
        <v>36</v>
      </c>
      <c r="D14" s="3" t="s">
        <v>134</v>
      </c>
      <c r="E14" s="3" t="s">
        <v>34</v>
      </c>
      <c r="F14" s="3" t="s">
        <v>94</v>
      </c>
      <c r="G14" s="3" t="s">
        <v>117</v>
      </c>
      <c r="H14" t="str">
        <f t="shared" si="0"/>
        <v>教授が大学生に</v>
      </c>
      <c r="I14" t="str">
        <f t="shared" si="1"/>
        <v>大袈裟に褒められたそうだ</v>
      </c>
      <c r="J14" t="str">
        <f t="shared" si="2"/>
        <v>誰が褒めたか？</v>
      </c>
      <c r="K14" t="str">
        <f t="shared" si="3"/>
        <v>大学生</v>
      </c>
      <c r="L14" t="str">
        <f t="shared" si="4"/>
        <v>教授</v>
      </c>
      <c r="M14" t="s">
        <v>79</v>
      </c>
      <c r="N14" s="8">
        <v>1.7729999999999999</v>
      </c>
      <c r="O14" s="8">
        <v>1.9710000000000001</v>
      </c>
      <c r="P14" t="str">
        <f t="shared" si="5"/>
        <v>audio/13_r1_implausible.wav</v>
      </c>
      <c r="Q14" t="str">
        <f t="shared" si="6"/>
        <v>audio/13_r2.wav</v>
      </c>
    </row>
    <row r="15" spans="1:17" x14ac:dyDescent="0.2">
      <c r="A15" s="3">
        <v>14</v>
      </c>
      <c r="B15" s="3" t="s">
        <v>54</v>
      </c>
      <c r="C15" s="3" t="s">
        <v>55</v>
      </c>
      <c r="D15" s="3" t="s">
        <v>130</v>
      </c>
      <c r="E15" s="3" t="s">
        <v>31</v>
      </c>
      <c r="F15" s="3" t="s">
        <v>95</v>
      </c>
      <c r="G15" s="3" t="s">
        <v>117</v>
      </c>
      <c r="H15" t="str">
        <f t="shared" si="0"/>
        <v>コーチが少年に</v>
      </c>
      <c r="I15" t="str">
        <f t="shared" si="1"/>
        <v>しっかりと指導されたそうだ</v>
      </c>
      <c r="J15" t="str">
        <f t="shared" si="2"/>
        <v>誰が指導したか？</v>
      </c>
      <c r="K15" t="str">
        <f t="shared" si="3"/>
        <v>少年</v>
      </c>
      <c r="L15" t="str">
        <f t="shared" si="4"/>
        <v>コーチ</v>
      </c>
      <c r="M15" t="s">
        <v>79</v>
      </c>
      <c r="N15" s="8">
        <v>1.579</v>
      </c>
      <c r="O15" s="8">
        <v>2.194</v>
      </c>
      <c r="P15" t="str">
        <f t="shared" si="5"/>
        <v>audio/14_r1_implausible.wav</v>
      </c>
      <c r="Q15" t="str">
        <f t="shared" si="6"/>
        <v>audio/14_r2.wav</v>
      </c>
    </row>
    <row r="16" spans="1:17" x14ac:dyDescent="0.2">
      <c r="A16" s="3">
        <v>15</v>
      </c>
      <c r="B16" s="3" t="s">
        <v>57</v>
      </c>
      <c r="C16" s="3" t="s">
        <v>58</v>
      </c>
      <c r="D16" s="3" t="s">
        <v>136</v>
      </c>
      <c r="E16" s="3" t="s">
        <v>56</v>
      </c>
      <c r="F16" s="3" t="s">
        <v>96</v>
      </c>
      <c r="G16" s="3" t="s">
        <v>118</v>
      </c>
      <c r="H16" t="str">
        <f t="shared" si="0"/>
        <v>師匠が弟子に</v>
      </c>
      <c r="I16" t="str">
        <f t="shared" si="1"/>
        <v>やっとのことで認められたみたいだ</v>
      </c>
      <c r="J16" t="str">
        <f t="shared" si="2"/>
        <v>誰が認めたか？</v>
      </c>
      <c r="K16" t="str">
        <f t="shared" si="3"/>
        <v>弟子</v>
      </c>
      <c r="L16" t="str">
        <f t="shared" si="4"/>
        <v>師匠</v>
      </c>
      <c r="M16" t="s">
        <v>79</v>
      </c>
      <c r="N16" s="8">
        <v>1.425</v>
      </c>
      <c r="O16" s="8">
        <v>2.56</v>
      </c>
      <c r="P16" t="str">
        <f t="shared" si="5"/>
        <v>audio/15_r1_implausible.wav</v>
      </c>
      <c r="Q16" t="str">
        <f t="shared" si="6"/>
        <v>audio/15_r2.wav</v>
      </c>
    </row>
    <row r="17" spans="1:17" x14ac:dyDescent="0.2">
      <c r="A17" s="3">
        <v>16</v>
      </c>
      <c r="B17" s="3" t="s">
        <v>49</v>
      </c>
      <c r="C17" s="3" t="s">
        <v>50</v>
      </c>
      <c r="D17" s="3" t="s">
        <v>144</v>
      </c>
      <c r="E17" s="3" t="s">
        <v>51</v>
      </c>
      <c r="F17" s="3" t="s">
        <v>97</v>
      </c>
      <c r="G17" s="3" t="s">
        <v>117</v>
      </c>
      <c r="H17" t="str">
        <f t="shared" si="0"/>
        <v>部下が上司に</v>
      </c>
      <c r="I17" t="str">
        <f t="shared" si="1"/>
        <v>広く尊敬されたそうだ</v>
      </c>
      <c r="J17" t="str">
        <f t="shared" si="2"/>
        <v>誰が尊敬したか？</v>
      </c>
      <c r="K17" t="str">
        <f t="shared" si="3"/>
        <v>上司</v>
      </c>
      <c r="L17" t="str">
        <f t="shared" si="4"/>
        <v>部下</v>
      </c>
      <c r="M17" t="s">
        <v>79</v>
      </c>
      <c r="N17" s="8">
        <v>1.466</v>
      </c>
      <c r="O17" s="8">
        <v>2.02</v>
      </c>
      <c r="P17" t="str">
        <f t="shared" si="5"/>
        <v>audio/16_r1_implausible.wav</v>
      </c>
      <c r="Q17" t="str">
        <f t="shared" si="6"/>
        <v>audio/16_r2.wav</v>
      </c>
    </row>
    <row r="18" spans="1:17" x14ac:dyDescent="0.2">
      <c r="A18" s="3">
        <v>17</v>
      </c>
      <c r="B18" s="3" t="s">
        <v>62</v>
      </c>
      <c r="C18" s="3" t="s">
        <v>63</v>
      </c>
      <c r="D18" s="3" t="s">
        <v>137</v>
      </c>
      <c r="E18" s="3" t="s">
        <v>64</v>
      </c>
      <c r="F18" s="3" t="s">
        <v>98</v>
      </c>
      <c r="G18" s="3" t="s">
        <v>118</v>
      </c>
      <c r="H18" t="str">
        <f t="shared" si="0"/>
        <v>社長が秘書に</v>
      </c>
      <c r="I18" t="str">
        <f t="shared" si="1"/>
        <v>頻繁に呼ばれたみたいだ</v>
      </c>
      <c r="J18" t="str">
        <f t="shared" si="2"/>
        <v>誰が呼んだか？</v>
      </c>
      <c r="K18" t="str">
        <f t="shared" si="3"/>
        <v>秘書</v>
      </c>
      <c r="L18" t="str">
        <f t="shared" si="4"/>
        <v>社長</v>
      </c>
      <c r="M18" t="s">
        <v>79</v>
      </c>
      <c r="N18" s="8">
        <v>1.46</v>
      </c>
      <c r="O18" s="8">
        <v>2.11</v>
      </c>
      <c r="P18" t="str">
        <f t="shared" si="5"/>
        <v>audio/17_r1_implausible.wav</v>
      </c>
      <c r="Q18" t="str">
        <f t="shared" si="6"/>
        <v>audio/17_r2.wav</v>
      </c>
    </row>
    <row r="19" spans="1:17" x14ac:dyDescent="0.2">
      <c r="A19" s="3">
        <v>18</v>
      </c>
      <c r="B19" s="3" t="s">
        <v>37</v>
      </c>
      <c r="C19" s="3" t="s">
        <v>38</v>
      </c>
      <c r="D19" s="3" t="s">
        <v>138</v>
      </c>
      <c r="E19" s="3" t="s">
        <v>39</v>
      </c>
      <c r="F19" s="3" t="s">
        <v>99</v>
      </c>
      <c r="G19" s="3" t="s">
        <v>118</v>
      </c>
      <c r="H19" t="str">
        <f t="shared" si="0"/>
        <v>被害者が弁護士に</v>
      </c>
      <c r="I19" t="str">
        <f t="shared" si="1"/>
        <v>良い条件で雇われたみたいだ</v>
      </c>
      <c r="J19" t="str">
        <f t="shared" si="2"/>
        <v>誰が雇ったか？</v>
      </c>
      <c r="K19" t="str">
        <f t="shared" si="3"/>
        <v>弁護士</v>
      </c>
      <c r="L19" t="str">
        <f t="shared" si="4"/>
        <v>被害者</v>
      </c>
      <c r="M19" t="s">
        <v>79</v>
      </c>
      <c r="N19" s="8">
        <v>1.736</v>
      </c>
      <c r="O19" s="8">
        <v>2.4900000000000002</v>
      </c>
      <c r="P19" t="str">
        <f t="shared" si="5"/>
        <v>audio/18_r1_implausible.wav</v>
      </c>
      <c r="Q19" t="str">
        <f t="shared" si="6"/>
        <v>audio/18_r2.wav</v>
      </c>
    </row>
    <row r="20" spans="1:17" x14ac:dyDescent="0.2">
      <c r="A20" s="3">
        <v>19</v>
      </c>
      <c r="B20" s="3" t="s">
        <v>40</v>
      </c>
      <c r="C20" s="3" t="s">
        <v>41</v>
      </c>
      <c r="D20" s="3" t="s">
        <v>142</v>
      </c>
      <c r="E20" s="3" t="s">
        <v>42</v>
      </c>
      <c r="F20" s="3" t="s">
        <v>100</v>
      </c>
      <c r="G20" s="3" t="s">
        <v>116</v>
      </c>
      <c r="H20" t="str">
        <f t="shared" si="0"/>
        <v>お兄さんがお年寄りに</v>
      </c>
      <c r="I20" t="str">
        <f t="shared" si="1"/>
        <v>親切に助けられたらしい</v>
      </c>
      <c r="J20" t="str">
        <f t="shared" si="2"/>
        <v>誰が助けたか？</v>
      </c>
      <c r="K20" t="str">
        <f t="shared" si="3"/>
        <v>お年寄り</v>
      </c>
      <c r="L20" t="str">
        <f t="shared" si="4"/>
        <v>お兄さん</v>
      </c>
      <c r="M20" t="s">
        <v>79</v>
      </c>
      <c r="N20" s="8">
        <v>1.91</v>
      </c>
      <c r="O20" s="8">
        <v>2.339</v>
      </c>
      <c r="P20" t="str">
        <f t="shared" si="5"/>
        <v>audio/19_r1_implausible.wav</v>
      </c>
      <c r="Q20" t="str">
        <f t="shared" si="6"/>
        <v>audio/19_r2.wav</v>
      </c>
    </row>
    <row r="21" spans="1:17" x14ac:dyDescent="0.2">
      <c r="A21" s="3">
        <v>20</v>
      </c>
      <c r="B21" s="3" t="s">
        <v>47</v>
      </c>
      <c r="C21" s="3" t="s">
        <v>44</v>
      </c>
      <c r="D21" s="3" t="s">
        <v>140</v>
      </c>
      <c r="E21" s="3" t="s">
        <v>43</v>
      </c>
      <c r="F21" s="3" t="s">
        <v>101</v>
      </c>
      <c r="G21" s="3" t="s">
        <v>147</v>
      </c>
      <c r="H21" t="str">
        <f t="shared" si="0"/>
        <v>ヘルパーがおばあさんに</v>
      </c>
      <c r="I21" t="str">
        <f t="shared" si="1"/>
        <v>素早く手伝われたみたいだ</v>
      </c>
      <c r="J21" t="str">
        <f t="shared" si="2"/>
        <v>誰が手伝ったか？</v>
      </c>
      <c r="K21" t="str">
        <f t="shared" si="3"/>
        <v>おばあさん</v>
      </c>
      <c r="L21" t="str">
        <f t="shared" si="4"/>
        <v>ヘルパー</v>
      </c>
      <c r="M21" t="s">
        <v>79</v>
      </c>
      <c r="N21" s="8">
        <v>1.84</v>
      </c>
      <c r="O21" s="8">
        <v>2.331</v>
      </c>
      <c r="P21" t="str">
        <f t="shared" si="5"/>
        <v>audio/20_r1_implausible.wav</v>
      </c>
      <c r="Q21" t="str">
        <f t="shared" si="6"/>
        <v>audio/20_r2.wav</v>
      </c>
    </row>
    <row r="22" spans="1:17" x14ac:dyDescent="0.2">
      <c r="A22" s="3">
        <v>21</v>
      </c>
      <c r="B22" s="3" t="s">
        <v>45</v>
      </c>
      <c r="C22" s="3" t="s">
        <v>48</v>
      </c>
      <c r="D22" s="3" t="s">
        <v>141</v>
      </c>
      <c r="E22" s="3" t="s">
        <v>46</v>
      </c>
      <c r="F22" s="3" t="s">
        <v>102</v>
      </c>
      <c r="G22" s="3" t="s">
        <v>117</v>
      </c>
      <c r="H22" t="str">
        <f t="shared" si="0"/>
        <v>介護士がおじいさんに</v>
      </c>
      <c r="I22" t="str">
        <f t="shared" si="1"/>
        <v>手際よく世話されたそうだ</v>
      </c>
      <c r="J22" t="str">
        <f t="shared" si="2"/>
        <v>誰が世話したか？</v>
      </c>
      <c r="K22" t="str">
        <f t="shared" si="3"/>
        <v>おじいさん</v>
      </c>
      <c r="L22" t="str">
        <f t="shared" si="4"/>
        <v>介護士</v>
      </c>
      <c r="M22" t="s">
        <v>79</v>
      </c>
      <c r="N22" s="8">
        <v>1.849</v>
      </c>
      <c r="O22" s="8">
        <v>2.1440000000000001</v>
      </c>
      <c r="P22" t="str">
        <f t="shared" si="5"/>
        <v>audio/21_r1_implausible.wav</v>
      </c>
      <c r="Q22" t="str">
        <f t="shared" si="6"/>
        <v>audio/21_r2.wav</v>
      </c>
    </row>
    <row r="23" spans="1:17" x14ac:dyDescent="0.2">
      <c r="A23" s="3">
        <v>22</v>
      </c>
      <c r="B23" s="3" t="s">
        <v>65</v>
      </c>
      <c r="C23" s="3" t="s">
        <v>66</v>
      </c>
      <c r="D23" s="3" t="s">
        <v>143</v>
      </c>
      <c r="E23" s="3" t="s">
        <v>67</v>
      </c>
      <c r="F23" s="3" t="s">
        <v>103</v>
      </c>
      <c r="G23" s="3" t="s">
        <v>145</v>
      </c>
      <c r="H23" t="str">
        <f t="shared" si="0"/>
        <v>ファンが芸能人に</v>
      </c>
      <c r="I23" t="str">
        <f t="shared" si="1"/>
        <v>密かに盗撮されたらしい</v>
      </c>
      <c r="J23" t="str">
        <f t="shared" si="2"/>
        <v>誰が盗撮したか？</v>
      </c>
      <c r="K23" t="str">
        <f t="shared" si="3"/>
        <v>芸能人</v>
      </c>
      <c r="L23" t="str">
        <f t="shared" si="4"/>
        <v>ファン</v>
      </c>
      <c r="M23" t="s">
        <v>79</v>
      </c>
      <c r="N23" s="8">
        <v>1.736</v>
      </c>
      <c r="O23" s="8">
        <v>2.2839999999999998</v>
      </c>
      <c r="P23" t="str">
        <f t="shared" si="5"/>
        <v>audio/22_r1_implausible.wav</v>
      </c>
      <c r="Q23" t="str">
        <f t="shared" si="6"/>
        <v>audio/22_r2.wav</v>
      </c>
    </row>
    <row r="24" spans="1:17" x14ac:dyDescent="0.2">
      <c r="A24" s="3">
        <v>23</v>
      </c>
      <c r="B24" s="3" t="s">
        <v>70</v>
      </c>
      <c r="C24" s="3" t="s">
        <v>69</v>
      </c>
      <c r="D24" s="3" t="s">
        <v>141</v>
      </c>
      <c r="E24" s="3" t="s">
        <v>68</v>
      </c>
      <c r="F24" s="3" t="s">
        <v>104</v>
      </c>
      <c r="G24" s="3" t="s">
        <v>146</v>
      </c>
      <c r="H24" t="str">
        <f t="shared" si="0"/>
        <v>カメラマンが女優に</v>
      </c>
      <c r="I24" t="str">
        <f t="shared" si="1"/>
        <v>手際よく撮影されたそうだ</v>
      </c>
      <c r="J24" t="str">
        <f t="shared" si="2"/>
        <v>誰が撮影したか？</v>
      </c>
      <c r="K24" t="str">
        <f t="shared" si="3"/>
        <v>女優</v>
      </c>
      <c r="L24" t="str">
        <f t="shared" si="4"/>
        <v>カメラマン</v>
      </c>
      <c r="M24" t="s">
        <v>79</v>
      </c>
      <c r="N24" s="8">
        <v>1.7390000000000001</v>
      </c>
      <c r="O24" s="8">
        <v>2.2000000000000002</v>
      </c>
      <c r="P24" t="str">
        <f t="shared" si="5"/>
        <v>audio/23_r1_implausible.wav</v>
      </c>
      <c r="Q24" t="str">
        <f t="shared" si="6"/>
        <v>audio/23_r2.wav</v>
      </c>
    </row>
    <row r="25" spans="1:17" x14ac:dyDescent="0.2">
      <c r="A25" s="3">
        <v>24</v>
      </c>
      <c r="B25" s="3" t="s">
        <v>71</v>
      </c>
      <c r="C25" s="3" t="s">
        <v>73</v>
      </c>
      <c r="D25" s="3" t="s">
        <v>135</v>
      </c>
      <c r="E25" s="3" t="s">
        <v>72</v>
      </c>
      <c r="F25" s="3" t="s">
        <v>105</v>
      </c>
      <c r="G25" s="3" t="s">
        <v>117</v>
      </c>
      <c r="H25" t="str">
        <f t="shared" si="0"/>
        <v>記者が大臣に</v>
      </c>
      <c r="I25" t="str">
        <f t="shared" si="1"/>
        <v>事細かに質問されたそうだ</v>
      </c>
      <c r="J25" t="str">
        <f t="shared" si="2"/>
        <v>誰が質問したか？</v>
      </c>
      <c r="K25" t="str">
        <f t="shared" si="3"/>
        <v>大臣</v>
      </c>
      <c r="L25" t="str">
        <f t="shared" si="4"/>
        <v>記者</v>
      </c>
      <c r="M25" t="s">
        <v>79</v>
      </c>
      <c r="N25" s="8">
        <v>1.5589999999999999</v>
      </c>
      <c r="O25" s="8">
        <v>2.3540000000000001</v>
      </c>
      <c r="P25" t="str">
        <f t="shared" si="5"/>
        <v>audio/24_r1_implausible.wav</v>
      </c>
      <c r="Q25" t="str">
        <f t="shared" si="6"/>
        <v>audio/24_r2.wav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0B678-B0CA-424C-B47E-D0ABB6BE4337}">
  <dimension ref="A1:S49"/>
  <sheetViews>
    <sheetView topLeftCell="A26" zoomScale="82" workbookViewId="0">
      <pane xSplit="1" topLeftCell="I1" activePane="topRight" state="frozen"/>
      <selection pane="topRight" activeCell="P12" sqref="P12"/>
    </sheetView>
  </sheetViews>
  <sheetFormatPr baseColWidth="10" defaultColWidth="10.6640625" defaultRowHeight="16" x14ac:dyDescent="0.2"/>
  <cols>
    <col min="5" max="5" width="21.1640625" customWidth="1"/>
    <col min="6" max="6" width="29.6640625" customWidth="1"/>
    <col min="7" max="7" width="28.6640625" customWidth="1"/>
    <col min="8" max="8" width="33.83203125" customWidth="1"/>
    <col min="9" max="9" width="17.33203125" customWidth="1"/>
    <col min="10" max="10" width="20" customWidth="1"/>
    <col min="11" max="11" width="12.33203125" customWidth="1"/>
    <col min="15" max="15" width="17.1640625" customWidth="1"/>
    <col min="16" max="17" width="12.1640625" style="8" customWidth="1"/>
    <col min="18" max="18" width="16.83203125" customWidth="1"/>
    <col min="19" max="19" width="21.1640625" customWidth="1"/>
  </cols>
  <sheetData>
    <row r="1" spans="1:19" x14ac:dyDescent="0.2">
      <c r="A1" s="4" t="s">
        <v>76</v>
      </c>
      <c r="B1" s="4" t="s">
        <v>631</v>
      </c>
      <c r="C1" t="s">
        <v>361</v>
      </c>
      <c r="D1" t="s">
        <v>360</v>
      </c>
      <c r="E1" s="4" t="s">
        <v>368</v>
      </c>
      <c r="F1" s="4" t="s">
        <v>119</v>
      </c>
      <c r="G1" s="4" t="s">
        <v>120</v>
      </c>
      <c r="H1" s="4" t="s">
        <v>121</v>
      </c>
      <c r="I1" s="4" t="s">
        <v>122</v>
      </c>
      <c r="J1" s="4" t="s">
        <v>123</v>
      </c>
      <c r="K1" s="4" t="s">
        <v>124</v>
      </c>
      <c r="L1" s="4" t="s">
        <v>357</v>
      </c>
      <c r="M1" s="4" t="s">
        <v>217</v>
      </c>
      <c r="N1" s="4" t="s">
        <v>218</v>
      </c>
      <c r="O1" s="4" t="s">
        <v>219</v>
      </c>
      <c r="P1" s="9" t="s">
        <v>369</v>
      </c>
      <c r="Q1" s="9" t="s">
        <v>370</v>
      </c>
      <c r="R1" s="4" t="s">
        <v>371</v>
      </c>
      <c r="S1" s="4" t="s">
        <v>372</v>
      </c>
    </row>
    <row r="2" spans="1:19" x14ac:dyDescent="0.2">
      <c r="A2" s="4">
        <v>101</v>
      </c>
      <c r="B2" s="4" t="s">
        <v>632</v>
      </c>
      <c r="C2" t="s">
        <v>363</v>
      </c>
      <c r="D2" t="s">
        <v>632</v>
      </c>
      <c r="E2" s="4" t="str">
        <f>テーブル1[[#This Row],[item]] &amp; "-" &amp; テーブル1[[#This Row],[plausibility]] &amp; "-" &amp; テーブル1[[#This Row],[task]]</f>
        <v>101-filler-nosecondary</v>
      </c>
      <c r="F2" s="4" t="s">
        <v>220</v>
      </c>
      <c r="G2" s="4" t="s">
        <v>221</v>
      </c>
      <c r="H2" s="4" t="s">
        <v>204</v>
      </c>
      <c r="I2" s="4" t="s">
        <v>205</v>
      </c>
      <c r="J2" s="4" t="s">
        <v>206</v>
      </c>
      <c r="K2" s="4" t="s">
        <v>122</v>
      </c>
      <c r="L2" s="4">
        <v>1</v>
      </c>
      <c r="M2" s="4">
        <v>10</v>
      </c>
      <c r="N2" s="4">
        <v>13</v>
      </c>
      <c r="O2" s="4">
        <f t="shared" ref="O2:O49" si="0">M2+N2</f>
        <v>23</v>
      </c>
      <c r="P2" s="9">
        <v>1.736</v>
      </c>
      <c r="Q2" s="9">
        <v>2.1509999999999998</v>
      </c>
      <c r="R2" s="4" t="str">
        <f t="shared" ref="R2:R49" si="1">"audio/" &amp; $A2 &amp; "_r1.wav"</f>
        <v>audio/101_r1.wav</v>
      </c>
      <c r="S2" s="4" t="str">
        <f t="shared" ref="S2:S49" si="2">"audio/" &amp; $A2 &amp; "_r2.wav"</f>
        <v>audio/101_r2.wav</v>
      </c>
    </row>
    <row r="3" spans="1:19" x14ac:dyDescent="0.2">
      <c r="A3" s="4">
        <v>102</v>
      </c>
      <c r="B3" s="4" t="s">
        <v>632</v>
      </c>
      <c r="C3" s="4" t="s">
        <v>362</v>
      </c>
      <c r="D3" t="s">
        <v>632</v>
      </c>
      <c r="E3" s="4" t="str">
        <f>テーブル1[[#This Row],[item]] &amp; "-" &amp; テーブル1[[#This Row],[plausibility]] &amp; "-" &amp; テーブル1[[#This Row],[task]]</f>
        <v>102-filler-articulation</v>
      </c>
      <c r="F3" s="4" t="s">
        <v>175</v>
      </c>
      <c r="G3" s="4" t="s">
        <v>180</v>
      </c>
      <c r="H3" s="4" t="s">
        <v>207</v>
      </c>
      <c r="I3" s="4" t="s">
        <v>208</v>
      </c>
      <c r="J3" s="4" t="s">
        <v>209</v>
      </c>
      <c r="K3" s="4" t="s">
        <v>123</v>
      </c>
      <c r="L3" s="4">
        <v>1</v>
      </c>
      <c r="M3" s="4">
        <v>12</v>
      </c>
      <c r="N3" s="4">
        <v>8</v>
      </c>
      <c r="O3" s="4">
        <f t="shared" si="0"/>
        <v>20</v>
      </c>
      <c r="P3" s="9">
        <v>2.0289999999999999</v>
      </c>
      <c r="Q3" s="9">
        <v>1.605</v>
      </c>
      <c r="R3" s="4" t="str">
        <f t="shared" si="1"/>
        <v>audio/102_r1.wav</v>
      </c>
      <c r="S3" s="4" t="str">
        <f t="shared" si="2"/>
        <v>audio/102_r2.wav</v>
      </c>
    </row>
    <row r="4" spans="1:19" x14ac:dyDescent="0.2">
      <c r="A4" s="4">
        <v>103</v>
      </c>
      <c r="B4" s="4" t="s">
        <v>632</v>
      </c>
      <c r="C4" t="s">
        <v>363</v>
      </c>
      <c r="D4" t="s">
        <v>632</v>
      </c>
      <c r="E4" s="4" t="str">
        <f>テーブル1[[#This Row],[item]] &amp; "-" &amp; テーブル1[[#This Row],[plausibility]] &amp; "-" &amp; テーブル1[[#This Row],[task]]</f>
        <v>103-filler-nosecondary</v>
      </c>
      <c r="F4" s="4" t="s">
        <v>200</v>
      </c>
      <c r="G4" s="4" t="s">
        <v>201</v>
      </c>
      <c r="H4" s="4" t="s">
        <v>202</v>
      </c>
      <c r="I4" s="4" t="s">
        <v>152</v>
      </c>
      <c r="J4" s="4" t="s">
        <v>203</v>
      </c>
      <c r="K4" s="4" t="s">
        <v>122</v>
      </c>
      <c r="L4" s="4">
        <v>1</v>
      </c>
      <c r="M4" s="4">
        <v>9</v>
      </c>
      <c r="N4" s="4">
        <v>8</v>
      </c>
      <c r="O4" s="4">
        <f t="shared" si="0"/>
        <v>17</v>
      </c>
      <c r="P4" s="9">
        <v>1.718</v>
      </c>
      <c r="Q4" s="9">
        <v>1.4279999999999999</v>
      </c>
      <c r="R4" s="4" t="str">
        <f t="shared" si="1"/>
        <v>audio/103_r1.wav</v>
      </c>
      <c r="S4" s="4" t="str">
        <f t="shared" si="2"/>
        <v>audio/103_r2.wav</v>
      </c>
    </row>
    <row r="5" spans="1:19" x14ac:dyDescent="0.2">
      <c r="A5" s="4">
        <v>116</v>
      </c>
      <c r="B5" s="4" t="s">
        <v>632</v>
      </c>
      <c r="C5" s="4" t="s">
        <v>362</v>
      </c>
      <c r="D5" t="s">
        <v>632</v>
      </c>
      <c r="E5" s="4" t="str">
        <f>テーブル1[[#This Row],[item]] &amp; "-" &amp; テーブル1[[#This Row],[plausibility]] &amp; "-" &amp; テーブル1[[#This Row],[task]]</f>
        <v>116-filler-articulation</v>
      </c>
      <c r="F5" s="4" t="s">
        <v>251</v>
      </c>
      <c r="G5" s="4" t="s">
        <v>252</v>
      </c>
      <c r="H5" s="4" t="s">
        <v>192</v>
      </c>
      <c r="I5" s="4" t="s">
        <v>194</v>
      </c>
      <c r="J5" s="4" t="s">
        <v>193</v>
      </c>
      <c r="K5" s="4" t="s">
        <v>123</v>
      </c>
      <c r="L5" s="4">
        <v>1</v>
      </c>
      <c r="M5" s="4">
        <v>14</v>
      </c>
      <c r="N5" s="4">
        <v>10</v>
      </c>
      <c r="O5" s="4">
        <f t="shared" si="0"/>
        <v>24</v>
      </c>
      <c r="P5" s="9">
        <v>1.736</v>
      </c>
      <c r="Q5" s="9">
        <v>2.0489999999999999</v>
      </c>
      <c r="R5" s="4" t="str">
        <f t="shared" si="1"/>
        <v>audio/116_r1.wav</v>
      </c>
      <c r="S5" s="4" t="str">
        <f t="shared" si="2"/>
        <v>audio/116_r2.wav</v>
      </c>
    </row>
    <row r="6" spans="1:19" x14ac:dyDescent="0.2">
      <c r="A6" s="4">
        <v>117</v>
      </c>
      <c r="B6" s="4" t="s">
        <v>632</v>
      </c>
      <c r="C6" t="s">
        <v>363</v>
      </c>
      <c r="D6" t="s">
        <v>632</v>
      </c>
      <c r="E6" s="4" t="str">
        <f>テーブル1[[#This Row],[item]] &amp; "-" &amp; テーブル1[[#This Row],[plausibility]] &amp; "-" &amp; テーブル1[[#This Row],[task]]</f>
        <v>117-filler-nosecondary</v>
      </c>
      <c r="F6" s="4" t="s">
        <v>195</v>
      </c>
      <c r="G6" s="4" t="s">
        <v>196</v>
      </c>
      <c r="H6" s="4" t="s">
        <v>197</v>
      </c>
      <c r="I6" s="4" t="s">
        <v>198</v>
      </c>
      <c r="J6" s="4" t="s">
        <v>199</v>
      </c>
      <c r="K6" s="4" t="s">
        <v>122</v>
      </c>
      <c r="L6" s="4">
        <v>1</v>
      </c>
      <c r="M6" s="4">
        <v>10</v>
      </c>
      <c r="N6" s="4">
        <v>12</v>
      </c>
      <c r="O6" s="4">
        <f t="shared" si="0"/>
        <v>22</v>
      </c>
      <c r="P6" s="9">
        <v>2.258</v>
      </c>
      <c r="Q6" s="9">
        <v>1.698</v>
      </c>
      <c r="R6" s="4" t="str">
        <f t="shared" si="1"/>
        <v>audio/117_r1.wav</v>
      </c>
      <c r="S6" s="4" t="str">
        <f t="shared" si="2"/>
        <v>audio/117_r2.wav</v>
      </c>
    </row>
    <row r="7" spans="1:19" x14ac:dyDescent="0.2">
      <c r="A7" s="4">
        <v>118</v>
      </c>
      <c r="B7" s="4" t="s">
        <v>632</v>
      </c>
      <c r="C7" s="4" t="s">
        <v>362</v>
      </c>
      <c r="D7" t="s">
        <v>632</v>
      </c>
      <c r="E7" s="4" t="str">
        <f>テーブル1[[#This Row],[item]] &amp; "-" &amp; テーブル1[[#This Row],[plausibility]] &amp; "-" &amp; テーブル1[[#This Row],[task]]</f>
        <v>118-filler-articulation</v>
      </c>
      <c r="F7" s="4" t="s">
        <v>213</v>
      </c>
      <c r="G7" s="4" t="s">
        <v>214</v>
      </c>
      <c r="H7" s="4" t="s">
        <v>215</v>
      </c>
      <c r="I7" s="4" t="s">
        <v>154</v>
      </c>
      <c r="J7" s="4" t="s">
        <v>216</v>
      </c>
      <c r="K7" s="4" t="s">
        <v>123</v>
      </c>
      <c r="L7" s="4">
        <v>1</v>
      </c>
      <c r="M7" s="4">
        <v>9</v>
      </c>
      <c r="N7" s="4">
        <v>12</v>
      </c>
      <c r="O7" s="4">
        <f t="shared" si="0"/>
        <v>21</v>
      </c>
      <c r="P7" s="9">
        <v>1.53</v>
      </c>
      <c r="Q7" s="9">
        <v>1.9330000000000001</v>
      </c>
      <c r="R7" s="4" t="str">
        <f t="shared" si="1"/>
        <v>audio/118_r1.wav</v>
      </c>
      <c r="S7" s="4" t="str">
        <f t="shared" si="2"/>
        <v>audio/118_r2.wav</v>
      </c>
    </row>
    <row r="8" spans="1:19" x14ac:dyDescent="0.2">
      <c r="A8" s="4">
        <v>125</v>
      </c>
      <c r="B8" s="4" t="s">
        <v>632</v>
      </c>
      <c r="C8" t="s">
        <v>363</v>
      </c>
      <c r="D8" t="s">
        <v>632</v>
      </c>
      <c r="E8" s="4" t="str">
        <f>テーブル1[[#This Row],[item]] &amp; "-" &amp; テーブル1[[#This Row],[plausibility]] &amp; "-" &amp; テーブル1[[#This Row],[task]]</f>
        <v>125-filler-nosecondary</v>
      </c>
      <c r="F8" s="4" t="s">
        <v>254</v>
      </c>
      <c r="G8" s="4" t="s">
        <v>261</v>
      </c>
      <c r="H8" s="4" t="s">
        <v>255</v>
      </c>
      <c r="I8" s="4" t="s">
        <v>256</v>
      </c>
      <c r="J8" s="4" t="s">
        <v>257</v>
      </c>
      <c r="K8" s="4" t="s">
        <v>122</v>
      </c>
      <c r="L8" s="4">
        <v>1</v>
      </c>
      <c r="M8" s="4">
        <v>11</v>
      </c>
      <c r="N8" s="4">
        <v>13</v>
      </c>
      <c r="O8" s="4">
        <f t="shared" si="0"/>
        <v>24</v>
      </c>
      <c r="P8" s="9">
        <v>1.863</v>
      </c>
      <c r="Q8" s="9">
        <v>2.145</v>
      </c>
      <c r="R8" s="4" t="str">
        <f t="shared" si="1"/>
        <v>audio/125_r1.wav</v>
      </c>
      <c r="S8" s="4" t="str">
        <f t="shared" si="2"/>
        <v>audio/125_r2.wav</v>
      </c>
    </row>
    <row r="9" spans="1:19" x14ac:dyDescent="0.2">
      <c r="A9" s="4">
        <v>126</v>
      </c>
      <c r="B9" s="4" t="s">
        <v>632</v>
      </c>
      <c r="C9" s="4" t="s">
        <v>362</v>
      </c>
      <c r="D9" t="s">
        <v>632</v>
      </c>
      <c r="E9" s="4" t="str">
        <f>テーブル1[[#This Row],[item]] &amp; "-" &amp; テーブル1[[#This Row],[plausibility]] &amp; "-" &amp; テーブル1[[#This Row],[task]]</f>
        <v>126-filler-articulation</v>
      </c>
      <c r="F9" s="4" t="s">
        <v>270</v>
      </c>
      <c r="G9" s="4" t="s">
        <v>258</v>
      </c>
      <c r="H9" s="4" t="s">
        <v>265</v>
      </c>
      <c r="I9" s="4" t="s">
        <v>157</v>
      </c>
      <c r="J9" s="4" t="s">
        <v>259</v>
      </c>
      <c r="K9" s="4" t="s">
        <v>123</v>
      </c>
      <c r="L9" s="4">
        <v>1</v>
      </c>
      <c r="M9" s="4">
        <v>11</v>
      </c>
      <c r="N9" s="4">
        <v>13</v>
      </c>
      <c r="O9" s="4">
        <f t="shared" si="0"/>
        <v>24</v>
      </c>
      <c r="P9" s="9">
        <v>1.91</v>
      </c>
      <c r="Q9" s="9">
        <v>2.1739999999999999</v>
      </c>
      <c r="R9" s="4" t="str">
        <f t="shared" si="1"/>
        <v>audio/126_r1.wav</v>
      </c>
      <c r="S9" s="4" t="str">
        <f t="shared" si="2"/>
        <v>audio/126_r2.wav</v>
      </c>
    </row>
    <row r="10" spans="1:19" x14ac:dyDescent="0.2">
      <c r="A10" s="4">
        <v>127</v>
      </c>
      <c r="B10" s="4" t="s">
        <v>632</v>
      </c>
      <c r="C10" t="s">
        <v>363</v>
      </c>
      <c r="D10" t="s">
        <v>632</v>
      </c>
      <c r="E10" s="4" t="str">
        <f>テーブル1[[#This Row],[item]] &amp; "-" &amp; テーブル1[[#This Row],[plausibility]] &amp; "-" &amp; テーブル1[[#This Row],[task]]</f>
        <v>127-filler-nosecondary</v>
      </c>
      <c r="F10" s="4" t="s">
        <v>290</v>
      </c>
      <c r="G10" s="4" t="s">
        <v>266</v>
      </c>
      <c r="H10" s="4" t="s">
        <v>267</v>
      </c>
      <c r="I10" s="4" t="s">
        <v>291</v>
      </c>
      <c r="J10" s="4" t="s">
        <v>268</v>
      </c>
      <c r="K10" s="4" t="s">
        <v>122</v>
      </c>
      <c r="L10" s="4">
        <v>1</v>
      </c>
      <c r="M10" s="4">
        <v>11</v>
      </c>
      <c r="N10" s="4">
        <v>10</v>
      </c>
      <c r="O10" s="4">
        <f t="shared" si="0"/>
        <v>21</v>
      </c>
      <c r="P10" s="9">
        <v>2.1509999999999998</v>
      </c>
      <c r="Q10" s="9">
        <v>1.7849999999999999</v>
      </c>
      <c r="R10" s="4" t="str">
        <f t="shared" si="1"/>
        <v>audio/127_r1.wav</v>
      </c>
      <c r="S10" s="4" t="str">
        <f t="shared" si="2"/>
        <v>audio/127_r2.wav</v>
      </c>
    </row>
    <row r="11" spans="1:19" x14ac:dyDescent="0.2">
      <c r="A11" s="4">
        <v>140</v>
      </c>
      <c r="B11" s="4" t="s">
        <v>632</v>
      </c>
      <c r="C11" s="4" t="s">
        <v>362</v>
      </c>
      <c r="D11" t="s">
        <v>632</v>
      </c>
      <c r="E11" s="4" t="str">
        <f>テーブル1[[#This Row],[item]] &amp; "-" &amp; テーブル1[[#This Row],[plausibility]] &amp; "-" &amp; テーブル1[[#This Row],[task]]</f>
        <v>140-filler-articulation</v>
      </c>
      <c r="F11" s="4" t="s">
        <v>326</v>
      </c>
      <c r="G11" s="4" t="s">
        <v>327</v>
      </c>
      <c r="H11" s="4" t="s">
        <v>330</v>
      </c>
      <c r="I11" s="4" t="s">
        <v>328</v>
      </c>
      <c r="J11" s="4" t="s">
        <v>325</v>
      </c>
      <c r="K11" s="4" t="s">
        <v>123</v>
      </c>
      <c r="L11" s="4">
        <v>1</v>
      </c>
      <c r="M11" s="4">
        <v>12</v>
      </c>
      <c r="N11" s="4">
        <v>12</v>
      </c>
      <c r="O11" s="4">
        <f t="shared" si="0"/>
        <v>24</v>
      </c>
      <c r="P11" s="9">
        <v>2.2349999999999999</v>
      </c>
      <c r="Q11" s="9">
        <v>1.82</v>
      </c>
      <c r="R11" s="4" t="str">
        <f t="shared" si="1"/>
        <v>audio/140_r1.wav</v>
      </c>
      <c r="S11" s="4" t="str">
        <f t="shared" si="2"/>
        <v>audio/140_r2.wav</v>
      </c>
    </row>
    <row r="12" spans="1:19" x14ac:dyDescent="0.2">
      <c r="A12" s="4">
        <v>141</v>
      </c>
      <c r="B12" s="4" t="s">
        <v>632</v>
      </c>
      <c r="C12" t="s">
        <v>363</v>
      </c>
      <c r="D12" t="s">
        <v>632</v>
      </c>
      <c r="E12" s="4" t="str">
        <f>テーブル1[[#This Row],[item]] &amp; "-" &amp; テーブル1[[#This Row],[plausibility]] &amp; "-" &amp; テーブル1[[#This Row],[task]]</f>
        <v>141-filler-nosecondary</v>
      </c>
      <c r="F12" s="4" t="s">
        <v>332</v>
      </c>
      <c r="G12" s="4" t="s">
        <v>340</v>
      </c>
      <c r="H12" s="4" t="s">
        <v>343</v>
      </c>
      <c r="I12" s="4" t="s">
        <v>333</v>
      </c>
      <c r="J12" s="4" t="s">
        <v>334</v>
      </c>
      <c r="K12" s="4" t="s">
        <v>122</v>
      </c>
      <c r="L12" s="4">
        <v>1</v>
      </c>
      <c r="M12" s="4">
        <v>12</v>
      </c>
      <c r="N12" s="4">
        <v>11</v>
      </c>
      <c r="O12" s="4">
        <f t="shared" si="0"/>
        <v>23</v>
      </c>
      <c r="P12" s="9">
        <v>2.04</v>
      </c>
      <c r="Q12" s="9">
        <v>1.9850000000000001</v>
      </c>
      <c r="R12" s="4" t="str">
        <f t="shared" si="1"/>
        <v>audio/141_r1.wav</v>
      </c>
      <c r="S12" s="4" t="str">
        <f t="shared" si="2"/>
        <v>audio/141_r2.wav</v>
      </c>
    </row>
    <row r="13" spans="1:19" s="6" customFormat="1" x14ac:dyDescent="0.2">
      <c r="A13" s="4">
        <v>142</v>
      </c>
      <c r="B13" s="4" t="s">
        <v>632</v>
      </c>
      <c r="C13" s="4" t="s">
        <v>362</v>
      </c>
      <c r="D13" t="s">
        <v>632</v>
      </c>
      <c r="E13" s="4" t="str">
        <f>テーブル1[[#This Row],[item]] &amp; "-" &amp; テーブル1[[#This Row],[plausibility]] &amp; "-" &amp; テーブル1[[#This Row],[task]]</f>
        <v>142-filler-articulation</v>
      </c>
      <c r="F13" s="4" t="s">
        <v>335</v>
      </c>
      <c r="G13" s="4" t="s">
        <v>336</v>
      </c>
      <c r="H13" s="4" t="s">
        <v>337</v>
      </c>
      <c r="I13" s="4" t="s">
        <v>338</v>
      </c>
      <c r="J13" s="4" t="s">
        <v>339</v>
      </c>
      <c r="K13" s="4" t="s">
        <v>123</v>
      </c>
      <c r="L13" s="4">
        <v>1</v>
      </c>
      <c r="M13" s="4">
        <v>13</v>
      </c>
      <c r="N13" s="4">
        <v>10</v>
      </c>
      <c r="O13" s="4">
        <f t="shared" si="0"/>
        <v>23</v>
      </c>
      <c r="P13" s="9">
        <v>2.1190000000000002</v>
      </c>
      <c r="Q13" s="9">
        <v>1.724</v>
      </c>
      <c r="R13" s="4" t="str">
        <f t="shared" si="1"/>
        <v>audio/142_r1.wav</v>
      </c>
      <c r="S13" s="4" t="str">
        <f t="shared" si="2"/>
        <v>audio/142_r2.wav</v>
      </c>
    </row>
    <row r="14" spans="1:19" x14ac:dyDescent="0.2">
      <c r="A14" s="4">
        <v>104</v>
      </c>
      <c r="B14" s="4" t="s">
        <v>632</v>
      </c>
      <c r="C14" t="s">
        <v>363</v>
      </c>
      <c r="D14" t="s">
        <v>632</v>
      </c>
      <c r="E14" s="4" t="str">
        <f>テーブル1[[#This Row],[item]] &amp; "-" &amp; テーブル1[[#This Row],[plausibility]] &amp; "-" &amp; テーブル1[[#This Row],[task]]</f>
        <v>104-filler-nosecondary</v>
      </c>
      <c r="F14" s="4" t="s">
        <v>161</v>
      </c>
      <c r="G14" s="4" t="s">
        <v>179</v>
      </c>
      <c r="H14" s="4" t="s">
        <v>162</v>
      </c>
      <c r="I14" s="4" t="s">
        <v>164</v>
      </c>
      <c r="J14" s="4" t="s">
        <v>163</v>
      </c>
      <c r="K14" s="4" t="s">
        <v>123</v>
      </c>
      <c r="L14" s="4">
        <v>2</v>
      </c>
      <c r="M14" s="4">
        <v>10</v>
      </c>
      <c r="N14" s="4">
        <v>13</v>
      </c>
      <c r="O14" s="4">
        <f t="shared" si="0"/>
        <v>23</v>
      </c>
      <c r="P14" s="9">
        <v>1.8080000000000001</v>
      </c>
      <c r="Q14" s="9">
        <v>2.04</v>
      </c>
      <c r="R14" s="4" t="str">
        <f t="shared" si="1"/>
        <v>audio/104_r1.wav</v>
      </c>
      <c r="S14" s="4" t="str">
        <f t="shared" si="2"/>
        <v>audio/104_r2.wav</v>
      </c>
    </row>
    <row r="15" spans="1:19" x14ac:dyDescent="0.2">
      <c r="A15" s="4">
        <v>105</v>
      </c>
      <c r="B15" s="4" t="s">
        <v>632</v>
      </c>
      <c r="C15" s="4" t="s">
        <v>362</v>
      </c>
      <c r="D15" t="s">
        <v>632</v>
      </c>
      <c r="E15" s="4" t="str">
        <f>テーブル1[[#This Row],[item]] &amp; "-" &amp; テーブル1[[#This Row],[plausibility]] &amp; "-" &amp; テーブル1[[#This Row],[task]]</f>
        <v>105-filler-articulation</v>
      </c>
      <c r="F15" s="4" t="s">
        <v>222</v>
      </c>
      <c r="G15" s="4" t="s">
        <v>178</v>
      </c>
      <c r="H15" s="4" t="s">
        <v>158</v>
      </c>
      <c r="I15" s="4" t="s">
        <v>160</v>
      </c>
      <c r="J15" s="4" t="s">
        <v>159</v>
      </c>
      <c r="K15" s="4" t="s">
        <v>122</v>
      </c>
      <c r="L15" s="4">
        <v>2</v>
      </c>
      <c r="M15" s="4">
        <v>12</v>
      </c>
      <c r="N15" s="4">
        <v>9</v>
      </c>
      <c r="O15" s="4">
        <f t="shared" si="0"/>
        <v>21</v>
      </c>
      <c r="P15" s="9">
        <v>1.3089999999999999</v>
      </c>
      <c r="Q15" s="9">
        <v>2.0960000000000001</v>
      </c>
      <c r="R15" s="4" t="str">
        <f t="shared" si="1"/>
        <v>audio/105_r1.wav</v>
      </c>
      <c r="S15" s="4" t="str">
        <f t="shared" si="2"/>
        <v>audio/105_r2.wav</v>
      </c>
    </row>
    <row r="16" spans="1:19" x14ac:dyDescent="0.2">
      <c r="A16" s="4">
        <v>106</v>
      </c>
      <c r="B16" s="4" t="s">
        <v>632</v>
      </c>
      <c r="C16" t="s">
        <v>363</v>
      </c>
      <c r="D16" t="s">
        <v>632</v>
      </c>
      <c r="E16" s="4" t="str">
        <f>テーブル1[[#This Row],[item]] &amp; "-" &amp; テーブル1[[#This Row],[plausibility]] &amp; "-" &amp; テーブル1[[#This Row],[task]]</f>
        <v>106-filler-nosecondary</v>
      </c>
      <c r="F16" s="4" t="s">
        <v>169</v>
      </c>
      <c r="G16" s="4" t="s">
        <v>165</v>
      </c>
      <c r="H16" s="4" t="s">
        <v>166</v>
      </c>
      <c r="I16" s="4" t="s">
        <v>168</v>
      </c>
      <c r="J16" s="4" t="s">
        <v>167</v>
      </c>
      <c r="K16" s="4" t="s">
        <v>123</v>
      </c>
      <c r="L16" s="4">
        <v>2</v>
      </c>
      <c r="M16" s="4">
        <v>9</v>
      </c>
      <c r="N16" s="4">
        <v>9</v>
      </c>
      <c r="O16" s="4">
        <f t="shared" si="0"/>
        <v>18</v>
      </c>
      <c r="P16" s="9">
        <v>1.704</v>
      </c>
      <c r="Q16" s="9">
        <v>1.718</v>
      </c>
      <c r="R16" s="4" t="str">
        <f t="shared" si="1"/>
        <v>audio/106_r1.wav</v>
      </c>
      <c r="S16" s="4" t="str">
        <f t="shared" si="2"/>
        <v>audio/106_r2.wav</v>
      </c>
    </row>
    <row r="17" spans="1:19" x14ac:dyDescent="0.2">
      <c r="A17" s="4">
        <v>113</v>
      </c>
      <c r="B17" s="4" t="s">
        <v>632</v>
      </c>
      <c r="C17" s="4" t="s">
        <v>362</v>
      </c>
      <c r="D17" t="s">
        <v>632</v>
      </c>
      <c r="E17" s="4" t="str">
        <f>テーブル1[[#This Row],[item]] &amp; "-" &amp; テーブル1[[#This Row],[plausibility]] &amp; "-" &amp; テーブル1[[#This Row],[task]]</f>
        <v>113-filler-articulation</v>
      </c>
      <c r="F17" s="4" t="s">
        <v>184</v>
      </c>
      <c r="G17" s="4" t="s">
        <v>185</v>
      </c>
      <c r="H17" s="4" t="s">
        <v>188</v>
      </c>
      <c r="I17" s="4" t="s">
        <v>186</v>
      </c>
      <c r="J17" s="4" t="s">
        <v>187</v>
      </c>
      <c r="K17" s="4" t="s">
        <v>122</v>
      </c>
      <c r="L17" s="4">
        <v>2</v>
      </c>
      <c r="M17" s="4">
        <v>6</v>
      </c>
      <c r="N17" s="4">
        <v>8</v>
      </c>
      <c r="O17" s="4">
        <f t="shared" si="0"/>
        <v>14</v>
      </c>
      <c r="P17" s="9">
        <v>1.84</v>
      </c>
      <c r="Q17" s="9">
        <v>1.591</v>
      </c>
      <c r="R17" s="4" t="str">
        <f t="shared" si="1"/>
        <v>audio/113_r1.wav</v>
      </c>
      <c r="S17" s="4" t="str">
        <f t="shared" si="2"/>
        <v>audio/113_r2.wav</v>
      </c>
    </row>
    <row r="18" spans="1:19" x14ac:dyDescent="0.2">
      <c r="A18" s="4">
        <v>114</v>
      </c>
      <c r="B18" s="4" t="s">
        <v>632</v>
      </c>
      <c r="C18" t="s">
        <v>363</v>
      </c>
      <c r="D18" t="s">
        <v>632</v>
      </c>
      <c r="E18" s="4" t="str">
        <f>テーブル1[[#This Row],[item]] &amp; "-" &amp; テーブル1[[#This Row],[plausibility]] &amp; "-" &amp; テーブル1[[#This Row],[task]]</f>
        <v>114-filler-nosecondary</v>
      </c>
      <c r="F18" s="4" t="s">
        <v>249</v>
      </c>
      <c r="G18" s="4" t="s">
        <v>250</v>
      </c>
      <c r="H18" s="4" t="s">
        <v>189</v>
      </c>
      <c r="I18" s="4" t="s">
        <v>191</v>
      </c>
      <c r="J18" s="4" t="s">
        <v>190</v>
      </c>
      <c r="K18" s="4" t="s">
        <v>123</v>
      </c>
      <c r="L18" s="4">
        <v>2</v>
      </c>
      <c r="M18" s="4">
        <v>11</v>
      </c>
      <c r="N18" s="4">
        <v>12</v>
      </c>
      <c r="O18" s="4">
        <f t="shared" si="0"/>
        <v>23</v>
      </c>
      <c r="P18" s="9">
        <v>1.593</v>
      </c>
      <c r="Q18" s="9">
        <v>1.9450000000000001</v>
      </c>
      <c r="R18" s="4" t="str">
        <f t="shared" si="1"/>
        <v>audio/114_r1.wav</v>
      </c>
      <c r="S18" s="4" t="str">
        <f t="shared" si="2"/>
        <v>audio/114_r2.wav</v>
      </c>
    </row>
    <row r="19" spans="1:19" x14ac:dyDescent="0.2">
      <c r="A19" s="4">
        <v>115</v>
      </c>
      <c r="B19" s="4" t="s">
        <v>632</v>
      </c>
      <c r="C19" s="4" t="s">
        <v>362</v>
      </c>
      <c r="D19" t="s">
        <v>632</v>
      </c>
      <c r="E19" s="4" t="str">
        <f>テーブル1[[#This Row],[item]] &amp; "-" &amp; テーブル1[[#This Row],[plausibility]] &amp; "-" &amp; テーブル1[[#This Row],[task]]</f>
        <v>115-filler-articulation</v>
      </c>
      <c r="F19" s="4" t="s">
        <v>224</v>
      </c>
      <c r="G19" s="4" t="s">
        <v>223</v>
      </c>
      <c r="H19" s="4" t="s">
        <v>225</v>
      </c>
      <c r="I19" s="4" t="s">
        <v>226</v>
      </c>
      <c r="J19" s="4" t="s">
        <v>153</v>
      </c>
      <c r="K19" s="4" t="s">
        <v>122</v>
      </c>
      <c r="L19" s="4">
        <v>2</v>
      </c>
      <c r="M19" s="4">
        <v>11</v>
      </c>
      <c r="N19" s="4">
        <v>13</v>
      </c>
      <c r="O19" s="4">
        <f t="shared" si="0"/>
        <v>24</v>
      </c>
      <c r="P19" s="9">
        <v>1.71</v>
      </c>
      <c r="Q19" s="9">
        <v>2.0230000000000001</v>
      </c>
      <c r="R19" s="4" t="str">
        <f t="shared" si="1"/>
        <v>audio/115_r1.wav</v>
      </c>
      <c r="S19" s="4" t="str">
        <f t="shared" si="2"/>
        <v>audio/115_r2.wav</v>
      </c>
    </row>
    <row r="20" spans="1:19" x14ac:dyDescent="0.2">
      <c r="A20" s="4">
        <v>128</v>
      </c>
      <c r="B20" s="4" t="s">
        <v>632</v>
      </c>
      <c r="C20" t="s">
        <v>363</v>
      </c>
      <c r="D20" t="s">
        <v>632</v>
      </c>
      <c r="E20" s="4" t="str">
        <f>テーブル1[[#This Row],[item]] &amp; "-" &amp; テーブル1[[#This Row],[plausibility]] &amp; "-" &amp; テーブル1[[#This Row],[task]]</f>
        <v>128-filler-nosecondary</v>
      </c>
      <c r="F20" s="4" t="s">
        <v>297</v>
      </c>
      <c r="G20" s="4" t="s">
        <v>298</v>
      </c>
      <c r="H20" s="4" t="s">
        <v>299</v>
      </c>
      <c r="I20" s="4" t="s">
        <v>296</v>
      </c>
      <c r="J20" s="4" t="s">
        <v>151</v>
      </c>
      <c r="K20" s="4" t="s">
        <v>123</v>
      </c>
      <c r="L20" s="4">
        <v>2</v>
      </c>
      <c r="M20" s="4">
        <v>13</v>
      </c>
      <c r="N20" s="4">
        <v>10</v>
      </c>
      <c r="O20" s="4">
        <f t="shared" si="0"/>
        <v>23</v>
      </c>
      <c r="P20" s="9">
        <v>1.9159999999999999</v>
      </c>
      <c r="Q20" s="9">
        <v>1.794</v>
      </c>
      <c r="R20" s="4" t="str">
        <f t="shared" si="1"/>
        <v>audio/128_r1.wav</v>
      </c>
      <c r="S20" s="4" t="str">
        <f t="shared" si="2"/>
        <v>audio/128_r2.wav</v>
      </c>
    </row>
    <row r="21" spans="1:19" x14ac:dyDescent="0.2">
      <c r="A21" s="4">
        <v>129</v>
      </c>
      <c r="B21" s="4" t="s">
        <v>632</v>
      </c>
      <c r="C21" s="4" t="s">
        <v>362</v>
      </c>
      <c r="D21" t="s">
        <v>632</v>
      </c>
      <c r="E21" s="4" t="str">
        <f>テーブル1[[#This Row],[item]] &amp; "-" &amp; テーブル1[[#This Row],[plausibility]] &amp; "-" &amp; テーブル1[[#This Row],[task]]</f>
        <v>129-filler-articulation</v>
      </c>
      <c r="F21" s="4" t="s">
        <v>277</v>
      </c>
      <c r="G21" s="4" t="s">
        <v>278</v>
      </c>
      <c r="H21" s="4" t="s">
        <v>279</v>
      </c>
      <c r="I21" s="4" t="s">
        <v>276</v>
      </c>
      <c r="J21" s="4" t="s">
        <v>275</v>
      </c>
      <c r="K21" s="4" t="s">
        <v>122</v>
      </c>
      <c r="L21" s="4">
        <v>2</v>
      </c>
      <c r="M21" s="4">
        <v>14</v>
      </c>
      <c r="N21" s="4">
        <v>11</v>
      </c>
      <c r="O21" s="4">
        <f t="shared" si="0"/>
        <v>25</v>
      </c>
      <c r="P21" s="9">
        <v>2.2290000000000001</v>
      </c>
      <c r="Q21" s="9">
        <v>1.869</v>
      </c>
      <c r="R21" s="4" t="str">
        <f t="shared" si="1"/>
        <v>audio/129_r1.wav</v>
      </c>
      <c r="S21" s="4" t="str">
        <f t="shared" si="2"/>
        <v>audio/129_r2.wav</v>
      </c>
    </row>
    <row r="22" spans="1:19" x14ac:dyDescent="0.2">
      <c r="A22" s="4">
        <v>130</v>
      </c>
      <c r="B22" s="4" t="s">
        <v>632</v>
      </c>
      <c r="C22" t="s">
        <v>363</v>
      </c>
      <c r="D22" t="s">
        <v>632</v>
      </c>
      <c r="E22" s="4" t="str">
        <f>テーブル1[[#This Row],[item]] &amp; "-" &amp; テーブル1[[#This Row],[plausibility]] &amp; "-" &amp; テーブル1[[#This Row],[task]]</f>
        <v>130-filler-nosecondary</v>
      </c>
      <c r="F22" s="4" t="s">
        <v>285</v>
      </c>
      <c r="G22" s="4" t="s">
        <v>286</v>
      </c>
      <c r="H22" s="4" t="s">
        <v>287</v>
      </c>
      <c r="I22" s="4" t="s">
        <v>288</v>
      </c>
      <c r="J22" s="4" t="s">
        <v>289</v>
      </c>
      <c r="K22" s="4" t="s">
        <v>123</v>
      </c>
      <c r="L22" s="4">
        <v>2</v>
      </c>
      <c r="M22" s="4">
        <v>13</v>
      </c>
      <c r="N22" s="4">
        <v>10</v>
      </c>
      <c r="O22" s="4">
        <f t="shared" si="0"/>
        <v>23</v>
      </c>
      <c r="P22" s="9">
        <v>2.0960000000000001</v>
      </c>
      <c r="Q22" s="9">
        <v>1.855</v>
      </c>
      <c r="R22" s="4" t="str">
        <f t="shared" si="1"/>
        <v>audio/130_r1.wav</v>
      </c>
      <c r="S22" s="4" t="str">
        <f t="shared" si="2"/>
        <v>audio/130_r2.wav</v>
      </c>
    </row>
    <row r="23" spans="1:19" x14ac:dyDescent="0.2">
      <c r="A23" s="4">
        <v>137</v>
      </c>
      <c r="B23" s="4" t="s">
        <v>632</v>
      </c>
      <c r="C23" s="4" t="s">
        <v>362</v>
      </c>
      <c r="D23" t="s">
        <v>632</v>
      </c>
      <c r="E23" s="4" t="str">
        <f>テーブル1[[#This Row],[item]] &amp; "-" &amp; テーブル1[[#This Row],[plausibility]] &amp; "-" &amp; テーブル1[[#This Row],[task]]</f>
        <v>137-filler-articulation</v>
      </c>
      <c r="F23" s="4" t="s">
        <v>309</v>
      </c>
      <c r="G23" s="4" t="s">
        <v>310</v>
      </c>
      <c r="H23" s="4" t="s">
        <v>311</v>
      </c>
      <c r="I23" s="4" t="s">
        <v>312</v>
      </c>
      <c r="J23" s="4" t="s">
        <v>313</v>
      </c>
      <c r="K23" s="4" t="s">
        <v>122</v>
      </c>
      <c r="L23" s="4">
        <v>2</v>
      </c>
      <c r="M23" s="4">
        <v>11</v>
      </c>
      <c r="N23" s="4">
        <v>8</v>
      </c>
      <c r="O23" s="4">
        <f t="shared" si="0"/>
        <v>19</v>
      </c>
      <c r="P23" s="9">
        <v>1.9590000000000001</v>
      </c>
      <c r="Q23" s="9">
        <v>1.5089999999999999</v>
      </c>
      <c r="R23" s="4" t="str">
        <f t="shared" si="1"/>
        <v>audio/137_r1.wav</v>
      </c>
      <c r="S23" s="4" t="str">
        <f t="shared" si="2"/>
        <v>audio/137_r2.wav</v>
      </c>
    </row>
    <row r="24" spans="1:19" x14ac:dyDescent="0.2">
      <c r="A24" s="4">
        <v>138</v>
      </c>
      <c r="B24" s="4" t="s">
        <v>632</v>
      </c>
      <c r="C24" t="s">
        <v>363</v>
      </c>
      <c r="D24" t="s">
        <v>632</v>
      </c>
      <c r="E24" s="4" t="str">
        <f>テーブル1[[#This Row],[item]] &amp; "-" &amp; テーブル1[[#This Row],[plausibility]] &amp; "-" &amp; テーブル1[[#This Row],[task]]</f>
        <v>138-filler-nosecondary</v>
      </c>
      <c r="F24" s="4" t="s">
        <v>316</v>
      </c>
      <c r="G24" s="4" t="s">
        <v>317</v>
      </c>
      <c r="H24" s="4" t="s">
        <v>322</v>
      </c>
      <c r="I24" s="4" t="s">
        <v>318</v>
      </c>
      <c r="J24" s="4" t="s">
        <v>319</v>
      </c>
      <c r="K24" s="4" t="s">
        <v>123</v>
      </c>
      <c r="L24" s="4">
        <v>2</v>
      </c>
      <c r="M24" s="4">
        <v>11</v>
      </c>
      <c r="N24" s="4">
        <v>11</v>
      </c>
      <c r="O24" s="4">
        <f t="shared" si="0"/>
        <v>22</v>
      </c>
      <c r="P24" s="9">
        <v>1.895</v>
      </c>
      <c r="Q24" s="9">
        <v>1.8340000000000001</v>
      </c>
      <c r="R24" s="4" t="str">
        <f t="shared" si="1"/>
        <v>audio/138_r1.wav</v>
      </c>
      <c r="S24" s="4" t="str">
        <f t="shared" si="2"/>
        <v>audio/138_r2.wav</v>
      </c>
    </row>
    <row r="25" spans="1:19" s="6" customFormat="1" x14ac:dyDescent="0.2">
      <c r="A25" s="4">
        <v>139</v>
      </c>
      <c r="B25" s="4" t="s">
        <v>632</v>
      </c>
      <c r="C25" s="4" t="s">
        <v>362</v>
      </c>
      <c r="D25" t="s">
        <v>632</v>
      </c>
      <c r="E25" s="4" t="str">
        <f>テーブル1[[#This Row],[item]] &amp; "-" &amp; テーブル1[[#This Row],[plausibility]] &amp; "-" &amp; テーブル1[[#This Row],[task]]</f>
        <v>139-filler-articulation</v>
      </c>
      <c r="F25" s="4" t="s">
        <v>354</v>
      </c>
      <c r="G25" s="4" t="s">
        <v>350</v>
      </c>
      <c r="H25" s="4" t="s">
        <v>351</v>
      </c>
      <c r="I25" s="4" t="s">
        <v>353</v>
      </c>
      <c r="J25" s="4" t="s">
        <v>352</v>
      </c>
      <c r="K25" s="4" t="s">
        <v>122</v>
      </c>
      <c r="L25" s="4">
        <v>2</v>
      </c>
      <c r="M25" s="4">
        <v>14</v>
      </c>
      <c r="N25" s="4">
        <v>11</v>
      </c>
      <c r="O25" s="4">
        <f t="shared" si="0"/>
        <v>25</v>
      </c>
      <c r="P25" s="9">
        <v>1.9590000000000001</v>
      </c>
      <c r="Q25" s="9">
        <v>2.069</v>
      </c>
      <c r="R25" s="4" t="str">
        <f t="shared" si="1"/>
        <v>audio/139_r1.wav</v>
      </c>
      <c r="S25" s="4" t="str">
        <f t="shared" si="2"/>
        <v>audio/139_r2.wav</v>
      </c>
    </row>
    <row r="26" spans="1:19" x14ac:dyDescent="0.2">
      <c r="A26" s="4">
        <v>107</v>
      </c>
      <c r="B26" s="4" t="s">
        <v>632</v>
      </c>
      <c r="C26" t="s">
        <v>363</v>
      </c>
      <c r="D26" t="s">
        <v>632</v>
      </c>
      <c r="E26" s="4" t="str">
        <f>テーブル1[[#This Row],[item]] &amp; "-" &amp; テーブル1[[#This Row],[plausibility]] &amp; "-" &amp; テーブル1[[#This Row],[task]]</f>
        <v>107-filler-nosecondary</v>
      </c>
      <c r="F26" s="4" t="s">
        <v>220</v>
      </c>
      <c r="G26" s="4" t="s">
        <v>171</v>
      </c>
      <c r="H26" s="4" t="s">
        <v>242</v>
      </c>
      <c r="I26" s="4" t="s">
        <v>205</v>
      </c>
      <c r="J26" s="4" t="s">
        <v>206</v>
      </c>
      <c r="K26" s="4" t="s">
        <v>122</v>
      </c>
      <c r="L26" s="4">
        <v>3</v>
      </c>
      <c r="M26" s="4">
        <v>10</v>
      </c>
      <c r="N26" s="4">
        <v>13</v>
      </c>
      <c r="O26" s="4">
        <f t="shared" si="0"/>
        <v>23</v>
      </c>
      <c r="P26" s="9">
        <v>1.736</v>
      </c>
      <c r="Q26" s="9">
        <v>1.9159999999999999</v>
      </c>
      <c r="R26" s="4" t="str">
        <f t="shared" si="1"/>
        <v>audio/107_r1.wav</v>
      </c>
      <c r="S26" s="4" t="str">
        <f t="shared" si="2"/>
        <v>audio/107_r2.wav</v>
      </c>
    </row>
    <row r="27" spans="1:19" x14ac:dyDescent="0.2">
      <c r="A27" s="4">
        <v>108</v>
      </c>
      <c r="B27" s="4" t="s">
        <v>632</v>
      </c>
      <c r="C27" s="4" t="s">
        <v>362</v>
      </c>
      <c r="D27" t="s">
        <v>632</v>
      </c>
      <c r="E27" s="4" t="str">
        <f>テーブル1[[#This Row],[item]] &amp; "-" &amp; テーブル1[[#This Row],[plausibility]] &amp; "-" &amp; テーブル1[[#This Row],[task]]</f>
        <v>108-filler-articulation</v>
      </c>
      <c r="F27" s="4" t="s">
        <v>175</v>
      </c>
      <c r="G27" s="4" t="s">
        <v>247</v>
      </c>
      <c r="H27" s="4" t="s">
        <v>248</v>
      </c>
      <c r="I27" s="4" t="s">
        <v>208</v>
      </c>
      <c r="J27" s="4" t="s">
        <v>209</v>
      </c>
      <c r="K27" s="4" t="s">
        <v>123</v>
      </c>
      <c r="L27" s="4">
        <v>3</v>
      </c>
      <c r="M27" s="4">
        <v>7</v>
      </c>
      <c r="N27" s="4">
        <v>13</v>
      </c>
      <c r="O27" s="4">
        <f t="shared" si="0"/>
        <v>20</v>
      </c>
      <c r="P27" s="9">
        <v>2.0289999999999999</v>
      </c>
      <c r="Q27" s="9">
        <v>1.6830000000000001</v>
      </c>
      <c r="R27" s="4" t="str">
        <f t="shared" si="1"/>
        <v>audio/108_r1.wav</v>
      </c>
      <c r="S27" s="4" t="str">
        <f t="shared" si="2"/>
        <v>audio/108_r2.wav</v>
      </c>
    </row>
    <row r="28" spans="1:19" x14ac:dyDescent="0.2">
      <c r="A28" s="4">
        <v>109</v>
      </c>
      <c r="B28" s="4" t="s">
        <v>632</v>
      </c>
      <c r="C28" t="s">
        <v>363</v>
      </c>
      <c r="D28" t="s">
        <v>632</v>
      </c>
      <c r="E28" s="4" t="str">
        <f>テーブル1[[#This Row],[item]] &amp; "-" &amp; テーブル1[[#This Row],[plausibility]] &amp; "-" &amp; テーブル1[[#This Row],[task]]</f>
        <v>109-filler-nosecondary</v>
      </c>
      <c r="F28" s="4" t="s">
        <v>200</v>
      </c>
      <c r="G28" s="4" t="s">
        <v>243</v>
      </c>
      <c r="H28" s="4" t="s">
        <v>244</v>
      </c>
      <c r="I28" s="4" t="s">
        <v>152</v>
      </c>
      <c r="J28" s="4" t="s">
        <v>208</v>
      </c>
      <c r="K28" s="4" t="s">
        <v>122</v>
      </c>
      <c r="L28" s="4">
        <v>3</v>
      </c>
      <c r="M28" s="4">
        <v>10</v>
      </c>
      <c r="N28" s="4">
        <v>10</v>
      </c>
      <c r="O28" s="4">
        <f t="shared" si="0"/>
        <v>20</v>
      </c>
      <c r="P28" s="9">
        <v>1.718</v>
      </c>
      <c r="Q28" s="9">
        <v>1.6830000000000001</v>
      </c>
      <c r="R28" s="4" t="str">
        <f t="shared" si="1"/>
        <v>audio/109_r1.wav</v>
      </c>
      <c r="S28" s="4" t="str">
        <f t="shared" si="2"/>
        <v>audio/109_r2.wav</v>
      </c>
    </row>
    <row r="29" spans="1:19" x14ac:dyDescent="0.2">
      <c r="A29" s="4">
        <v>122</v>
      </c>
      <c r="B29" s="4" t="s">
        <v>632</v>
      </c>
      <c r="C29" s="4" t="s">
        <v>362</v>
      </c>
      <c r="D29" t="s">
        <v>632</v>
      </c>
      <c r="E29" s="4" t="str">
        <f>テーブル1[[#This Row],[item]] &amp; "-" &amp; テーブル1[[#This Row],[plausibility]] &amp; "-" &amp; テーブル1[[#This Row],[task]]</f>
        <v>122-filler-articulation</v>
      </c>
      <c r="F29" s="4" t="s">
        <v>227</v>
      </c>
      <c r="G29" s="4" t="s">
        <v>307</v>
      </c>
      <c r="H29" s="4" t="s">
        <v>228</v>
      </c>
      <c r="I29" s="4" t="s">
        <v>229</v>
      </c>
      <c r="J29" s="4" t="s">
        <v>230</v>
      </c>
      <c r="K29" s="4" t="s">
        <v>123</v>
      </c>
      <c r="L29" s="4">
        <v>3</v>
      </c>
      <c r="M29" s="4">
        <v>12</v>
      </c>
      <c r="N29" s="4">
        <v>13</v>
      </c>
      <c r="O29" s="4">
        <f t="shared" si="0"/>
        <v>25</v>
      </c>
      <c r="P29" s="9">
        <v>1.625</v>
      </c>
      <c r="Q29" s="9">
        <v>1.89</v>
      </c>
      <c r="R29" s="4" t="str">
        <f t="shared" si="1"/>
        <v>audio/122_r1.wav</v>
      </c>
      <c r="S29" s="4" t="str">
        <f t="shared" si="2"/>
        <v>audio/122_r2.wav</v>
      </c>
    </row>
    <row r="30" spans="1:19" x14ac:dyDescent="0.2">
      <c r="A30" s="4">
        <v>123</v>
      </c>
      <c r="B30" s="4" t="s">
        <v>632</v>
      </c>
      <c r="C30" t="s">
        <v>363</v>
      </c>
      <c r="D30" t="s">
        <v>632</v>
      </c>
      <c r="E30" s="4" t="str">
        <f>テーブル1[[#This Row],[item]] &amp; "-" &amp; テーブル1[[#This Row],[plausibility]] &amp; "-" &amp; テーブル1[[#This Row],[task]]</f>
        <v>123-filler-nosecondary</v>
      </c>
      <c r="F30" s="4" t="s">
        <v>231</v>
      </c>
      <c r="G30" s="4" t="s">
        <v>232</v>
      </c>
      <c r="H30" s="4" t="s">
        <v>233</v>
      </c>
      <c r="I30" s="4" t="s">
        <v>234</v>
      </c>
      <c r="J30" s="4" t="s">
        <v>235</v>
      </c>
      <c r="K30" s="4" t="s">
        <v>122</v>
      </c>
      <c r="L30" s="4">
        <v>3</v>
      </c>
      <c r="M30" s="4">
        <v>9</v>
      </c>
      <c r="N30" s="4">
        <v>12</v>
      </c>
      <c r="O30" s="4">
        <f t="shared" si="0"/>
        <v>21</v>
      </c>
      <c r="P30" s="9">
        <v>2.0139999999999998</v>
      </c>
      <c r="Q30" s="9">
        <v>2.0350000000000001</v>
      </c>
      <c r="R30" s="4" t="str">
        <f t="shared" si="1"/>
        <v>audio/123_r1.wav</v>
      </c>
      <c r="S30" s="4" t="str">
        <f t="shared" si="2"/>
        <v>audio/123_r2.wav</v>
      </c>
    </row>
    <row r="31" spans="1:19" x14ac:dyDescent="0.2">
      <c r="A31" s="4">
        <v>124</v>
      </c>
      <c r="B31" s="4" t="s">
        <v>632</v>
      </c>
      <c r="C31" s="4" t="s">
        <v>362</v>
      </c>
      <c r="D31" t="s">
        <v>632</v>
      </c>
      <c r="E31" s="4" t="str">
        <f>テーブル1[[#This Row],[item]] &amp; "-" &amp; テーブル1[[#This Row],[plausibility]] &amp; "-" &amp; テーブル1[[#This Row],[task]]</f>
        <v>124-filler-articulation</v>
      </c>
      <c r="F31" s="4" t="s">
        <v>213</v>
      </c>
      <c r="G31" s="4" t="s">
        <v>308</v>
      </c>
      <c r="H31" s="4" t="s">
        <v>236</v>
      </c>
      <c r="I31" s="4" t="s">
        <v>154</v>
      </c>
      <c r="J31" s="4" t="s">
        <v>216</v>
      </c>
      <c r="K31" s="4" t="s">
        <v>123</v>
      </c>
      <c r="L31" s="4">
        <v>3</v>
      </c>
      <c r="M31" s="4">
        <v>13</v>
      </c>
      <c r="N31" s="4">
        <v>11</v>
      </c>
      <c r="O31" s="4">
        <f t="shared" si="0"/>
        <v>24</v>
      </c>
      <c r="P31" s="9">
        <v>1.53</v>
      </c>
      <c r="Q31" s="9">
        <v>1.919</v>
      </c>
      <c r="R31" s="4" t="str">
        <f t="shared" si="1"/>
        <v>audio/124_r1.wav</v>
      </c>
      <c r="S31" s="4" t="str">
        <f t="shared" si="2"/>
        <v>audio/124_r2.wav</v>
      </c>
    </row>
    <row r="32" spans="1:19" x14ac:dyDescent="0.2">
      <c r="A32" s="4">
        <v>131</v>
      </c>
      <c r="B32" s="4" t="s">
        <v>632</v>
      </c>
      <c r="C32" t="s">
        <v>363</v>
      </c>
      <c r="D32" t="s">
        <v>632</v>
      </c>
      <c r="E32" s="4" t="str">
        <f>テーブル1[[#This Row],[item]] &amp; "-" &amp; テーブル1[[#This Row],[plausibility]] &amp; "-" &amp; テーブル1[[#This Row],[task]]</f>
        <v>131-filler-nosecondary</v>
      </c>
      <c r="F32" s="4" t="s">
        <v>260</v>
      </c>
      <c r="G32" s="4" t="s">
        <v>262</v>
      </c>
      <c r="H32" s="4" t="s">
        <v>282</v>
      </c>
      <c r="I32" s="4" t="s">
        <v>257</v>
      </c>
      <c r="J32" s="4" t="s">
        <v>256</v>
      </c>
      <c r="K32" s="4" t="s">
        <v>122</v>
      </c>
      <c r="L32" s="4">
        <v>3</v>
      </c>
      <c r="M32" s="4">
        <v>9</v>
      </c>
      <c r="N32" s="4">
        <v>12</v>
      </c>
      <c r="O32" s="4">
        <f t="shared" si="0"/>
        <v>21</v>
      </c>
      <c r="P32" s="9">
        <v>1.718</v>
      </c>
      <c r="Q32" s="9">
        <v>1.93</v>
      </c>
      <c r="R32" s="4" t="str">
        <f t="shared" si="1"/>
        <v>audio/131_r1.wav</v>
      </c>
      <c r="S32" s="4" t="str">
        <f t="shared" si="2"/>
        <v>audio/131_r2.wav</v>
      </c>
    </row>
    <row r="33" spans="1:19" x14ac:dyDescent="0.2">
      <c r="A33" s="4">
        <v>132</v>
      </c>
      <c r="B33" s="4" t="s">
        <v>632</v>
      </c>
      <c r="C33" s="4" t="s">
        <v>362</v>
      </c>
      <c r="D33" t="s">
        <v>632</v>
      </c>
      <c r="E33" s="4" t="str">
        <f>テーブル1[[#This Row],[item]] &amp; "-" &amp; テーブル1[[#This Row],[plausibility]] &amp; "-" &amp; テーブル1[[#This Row],[task]]</f>
        <v>132-filler-articulation</v>
      </c>
      <c r="F33" s="4" t="s">
        <v>271</v>
      </c>
      <c r="G33" s="4" t="s">
        <v>263</v>
      </c>
      <c r="H33" s="4" t="s">
        <v>264</v>
      </c>
      <c r="I33" s="4" t="s">
        <v>155</v>
      </c>
      <c r="J33" s="4" t="s">
        <v>156</v>
      </c>
      <c r="K33" s="4" t="s">
        <v>123</v>
      </c>
      <c r="L33" s="4">
        <v>3</v>
      </c>
      <c r="M33" s="4">
        <v>12</v>
      </c>
      <c r="N33" s="4">
        <v>14</v>
      </c>
      <c r="O33" s="4">
        <f t="shared" si="0"/>
        <v>26</v>
      </c>
      <c r="P33" s="9">
        <v>2.0089999999999999</v>
      </c>
      <c r="Q33" s="9">
        <v>2.258</v>
      </c>
      <c r="R33" s="4" t="str">
        <f t="shared" si="1"/>
        <v>audio/132_r1.wav</v>
      </c>
      <c r="S33" s="4" t="str">
        <f t="shared" si="2"/>
        <v>audio/132_r2.wav</v>
      </c>
    </row>
    <row r="34" spans="1:19" x14ac:dyDescent="0.2">
      <c r="A34" s="4">
        <v>133</v>
      </c>
      <c r="B34" s="4" t="s">
        <v>632</v>
      </c>
      <c r="C34" t="s">
        <v>363</v>
      </c>
      <c r="D34" t="s">
        <v>632</v>
      </c>
      <c r="E34" s="4" t="str">
        <f>テーブル1[[#This Row],[item]] &amp; "-" &amp; テーブル1[[#This Row],[plausibility]] &amp; "-" &amp; テーブル1[[#This Row],[task]]</f>
        <v>133-filler-nosecondary</v>
      </c>
      <c r="F34" s="4" t="s">
        <v>269</v>
      </c>
      <c r="G34" s="4" t="s">
        <v>272</v>
      </c>
      <c r="H34" s="4" t="s">
        <v>267</v>
      </c>
      <c r="I34" s="4" t="s">
        <v>274</v>
      </c>
      <c r="J34" s="4" t="s">
        <v>273</v>
      </c>
      <c r="K34" s="4" t="s">
        <v>122</v>
      </c>
      <c r="L34" s="4">
        <v>3</v>
      </c>
      <c r="M34" s="4">
        <v>12</v>
      </c>
      <c r="N34" s="4">
        <v>13</v>
      </c>
      <c r="O34" s="4">
        <f t="shared" si="0"/>
        <v>25</v>
      </c>
      <c r="P34" s="9">
        <v>2.1800000000000002</v>
      </c>
      <c r="Q34" s="9">
        <v>1.5589999999999999</v>
      </c>
      <c r="R34" s="4" t="str">
        <f t="shared" si="1"/>
        <v>audio/133_r1.wav</v>
      </c>
      <c r="S34" s="4" t="str">
        <f t="shared" si="2"/>
        <v>audio/133_r2.wav</v>
      </c>
    </row>
    <row r="35" spans="1:19" x14ac:dyDescent="0.2">
      <c r="A35" s="4">
        <v>146</v>
      </c>
      <c r="B35" s="4" t="s">
        <v>632</v>
      </c>
      <c r="C35" s="4" t="s">
        <v>362</v>
      </c>
      <c r="D35" t="s">
        <v>632</v>
      </c>
      <c r="E35" s="4" t="str">
        <f>テーブル1[[#This Row],[item]] &amp; "-" &amp; テーブル1[[#This Row],[plausibility]] &amp; "-" &amp; テーブル1[[#This Row],[task]]</f>
        <v>146-filler-articulation</v>
      </c>
      <c r="F35" s="4" t="s">
        <v>329</v>
      </c>
      <c r="G35" s="4" t="s">
        <v>327</v>
      </c>
      <c r="H35" s="4" t="s">
        <v>331</v>
      </c>
      <c r="I35" s="4" t="s">
        <v>325</v>
      </c>
      <c r="J35" s="4" t="s">
        <v>328</v>
      </c>
      <c r="K35" s="4" t="s">
        <v>123</v>
      </c>
      <c r="L35" s="4">
        <v>3</v>
      </c>
      <c r="M35" s="4">
        <v>12</v>
      </c>
      <c r="N35" s="4">
        <v>13</v>
      </c>
      <c r="O35" s="4">
        <f t="shared" si="0"/>
        <v>25</v>
      </c>
      <c r="P35" s="9">
        <v>1.988</v>
      </c>
      <c r="Q35" s="9">
        <v>1.82</v>
      </c>
      <c r="R35" s="4" t="str">
        <f t="shared" si="1"/>
        <v>audio/146_r1.wav</v>
      </c>
      <c r="S35" s="4" t="str">
        <f t="shared" si="2"/>
        <v>audio/146_r2.wav</v>
      </c>
    </row>
    <row r="36" spans="1:19" x14ac:dyDescent="0.2">
      <c r="A36" s="4">
        <v>147</v>
      </c>
      <c r="B36" s="4" t="s">
        <v>632</v>
      </c>
      <c r="C36" t="s">
        <v>363</v>
      </c>
      <c r="D36" t="s">
        <v>632</v>
      </c>
      <c r="E36" s="4" t="str">
        <f>テーブル1[[#This Row],[item]] &amp; "-" &amp; テーブル1[[#This Row],[plausibility]] &amp; "-" &amp; テーブル1[[#This Row],[task]]</f>
        <v>147-filler-nosecondary</v>
      </c>
      <c r="F36" s="4" t="s">
        <v>341</v>
      </c>
      <c r="G36" s="4" t="s">
        <v>342</v>
      </c>
      <c r="H36" s="4" t="s">
        <v>343</v>
      </c>
      <c r="I36" s="4" t="s">
        <v>344</v>
      </c>
      <c r="J36" s="4" t="s">
        <v>345</v>
      </c>
      <c r="K36" s="4" t="s">
        <v>122</v>
      </c>
      <c r="L36" s="4">
        <v>3</v>
      </c>
      <c r="M36" s="4">
        <v>13</v>
      </c>
      <c r="N36" s="4">
        <v>11</v>
      </c>
      <c r="O36" s="4">
        <f t="shared" si="0"/>
        <v>24</v>
      </c>
      <c r="P36" s="9">
        <v>2.0089999999999999</v>
      </c>
      <c r="Q36" s="9">
        <v>1.98</v>
      </c>
      <c r="R36" s="4" t="str">
        <f t="shared" si="1"/>
        <v>audio/147_r1.wav</v>
      </c>
      <c r="S36" s="4" t="str">
        <f t="shared" si="2"/>
        <v>audio/147_r2.wav</v>
      </c>
    </row>
    <row r="37" spans="1:19" s="6" customFormat="1" x14ac:dyDescent="0.2">
      <c r="A37" s="4">
        <v>148</v>
      </c>
      <c r="B37" s="4" t="s">
        <v>632</v>
      </c>
      <c r="C37" s="4" t="s">
        <v>362</v>
      </c>
      <c r="D37" t="s">
        <v>632</v>
      </c>
      <c r="E37" s="4" t="str">
        <f>テーブル1[[#This Row],[item]] &amp; "-" &amp; テーブル1[[#This Row],[plausibility]] &amp; "-" &amp; テーブル1[[#This Row],[task]]</f>
        <v>148-filler-articulation</v>
      </c>
      <c r="F37" s="4" t="s">
        <v>346</v>
      </c>
      <c r="G37" s="4" t="s">
        <v>347</v>
      </c>
      <c r="H37" s="4" t="s">
        <v>348</v>
      </c>
      <c r="I37" s="4" t="s">
        <v>349</v>
      </c>
      <c r="J37" s="4" t="s">
        <v>253</v>
      </c>
      <c r="K37" s="4" t="s">
        <v>123</v>
      </c>
      <c r="L37" s="4">
        <v>3</v>
      </c>
      <c r="M37" s="4">
        <v>12</v>
      </c>
      <c r="N37" s="4">
        <v>11</v>
      </c>
      <c r="O37" s="4">
        <f t="shared" si="0"/>
        <v>23</v>
      </c>
      <c r="P37" s="9">
        <v>1.994</v>
      </c>
      <c r="Q37" s="9">
        <v>1.718</v>
      </c>
      <c r="R37" s="4" t="str">
        <f t="shared" si="1"/>
        <v>audio/148_r1.wav</v>
      </c>
      <c r="S37" s="4" t="str">
        <f t="shared" si="2"/>
        <v>audio/148_r2.wav</v>
      </c>
    </row>
    <row r="38" spans="1:19" x14ac:dyDescent="0.2">
      <c r="A38" s="4">
        <v>110</v>
      </c>
      <c r="B38" s="4" t="s">
        <v>632</v>
      </c>
      <c r="C38" t="s">
        <v>363</v>
      </c>
      <c r="D38" t="s">
        <v>632</v>
      </c>
      <c r="E38" s="4" t="str">
        <f>テーブル1[[#This Row],[item]] &amp; "-" &amp; テーブル1[[#This Row],[plausibility]] &amp; "-" &amp; テーブル1[[#This Row],[task]]</f>
        <v>110-filler-nosecondary</v>
      </c>
      <c r="F38" s="4" t="s">
        <v>161</v>
      </c>
      <c r="G38" s="4" t="s">
        <v>245</v>
      </c>
      <c r="H38" s="4" t="s">
        <v>162</v>
      </c>
      <c r="I38" s="4" t="s">
        <v>164</v>
      </c>
      <c r="J38" s="4" t="s">
        <v>246</v>
      </c>
      <c r="K38" s="4" t="s">
        <v>123</v>
      </c>
      <c r="L38" s="4">
        <v>4</v>
      </c>
      <c r="M38" s="4">
        <v>12</v>
      </c>
      <c r="N38" s="4">
        <v>12</v>
      </c>
      <c r="O38" s="4">
        <f t="shared" si="0"/>
        <v>24</v>
      </c>
      <c r="P38" s="9">
        <v>1.8080000000000001</v>
      </c>
      <c r="Q38" s="9">
        <v>2.02</v>
      </c>
      <c r="R38" s="4" t="str">
        <f t="shared" si="1"/>
        <v>audio/110_r1.wav</v>
      </c>
      <c r="S38" s="4" t="str">
        <f t="shared" si="2"/>
        <v>audio/110_r2.wav</v>
      </c>
    </row>
    <row r="39" spans="1:19" x14ac:dyDescent="0.2">
      <c r="A39" s="4">
        <v>111</v>
      </c>
      <c r="B39" s="4" t="s">
        <v>632</v>
      </c>
      <c r="C39" s="4" t="s">
        <v>362</v>
      </c>
      <c r="D39" t="s">
        <v>632</v>
      </c>
      <c r="E39" s="4" t="str">
        <f>テーブル1[[#This Row],[item]] &amp; "-" &amp; テーブル1[[#This Row],[plausibility]] &amp; "-" &amp; テーブル1[[#This Row],[task]]</f>
        <v>111-filler-articulation</v>
      </c>
      <c r="F39" s="4" t="s">
        <v>170</v>
      </c>
      <c r="G39" s="4" t="s">
        <v>171</v>
      </c>
      <c r="H39" s="4" t="s">
        <v>173</v>
      </c>
      <c r="I39" s="4" t="s">
        <v>172</v>
      </c>
      <c r="J39" s="4" t="s">
        <v>174</v>
      </c>
      <c r="K39" s="4" t="s">
        <v>122</v>
      </c>
      <c r="L39" s="4">
        <v>4</v>
      </c>
      <c r="M39" s="4">
        <v>11</v>
      </c>
      <c r="N39" s="4">
        <v>10</v>
      </c>
      <c r="O39" s="4">
        <f t="shared" si="0"/>
        <v>21</v>
      </c>
      <c r="P39" s="9">
        <v>1.9850000000000001</v>
      </c>
      <c r="Q39" s="9">
        <v>1.9159999999999999</v>
      </c>
      <c r="R39" s="4" t="str">
        <f t="shared" si="1"/>
        <v>audio/111_r1.wav</v>
      </c>
      <c r="S39" s="4" t="str">
        <f t="shared" si="2"/>
        <v>audio/111_r2.wav</v>
      </c>
    </row>
    <row r="40" spans="1:19" x14ac:dyDescent="0.2">
      <c r="A40" s="4">
        <v>112</v>
      </c>
      <c r="B40" s="4" t="s">
        <v>632</v>
      </c>
      <c r="C40" t="s">
        <v>363</v>
      </c>
      <c r="D40" t="s">
        <v>632</v>
      </c>
      <c r="E40" s="4" t="str">
        <f>テーブル1[[#This Row],[item]] &amp; "-" &amp; テーブル1[[#This Row],[plausibility]] &amp; "-" &amp; テーブル1[[#This Row],[task]]</f>
        <v>112-filler-nosecondary</v>
      </c>
      <c r="F40" s="4" t="s">
        <v>176</v>
      </c>
      <c r="G40" s="4" t="s">
        <v>177</v>
      </c>
      <c r="H40" s="4" t="s">
        <v>181</v>
      </c>
      <c r="I40" s="4" t="s">
        <v>182</v>
      </c>
      <c r="J40" s="4" t="s">
        <v>183</v>
      </c>
      <c r="K40" s="4" t="s">
        <v>123</v>
      </c>
      <c r="L40" s="4">
        <v>4</v>
      </c>
      <c r="M40" s="4">
        <v>11</v>
      </c>
      <c r="N40" s="4">
        <v>10</v>
      </c>
      <c r="O40" s="4">
        <f t="shared" si="0"/>
        <v>21</v>
      </c>
      <c r="P40" s="9">
        <v>2.456</v>
      </c>
      <c r="Q40" s="9">
        <v>1.8140000000000001</v>
      </c>
      <c r="R40" s="4" t="str">
        <f t="shared" si="1"/>
        <v>audio/112_r1.wav</v>
      </c>
      <c r="S40" s="4" t="str">
        <f t="shared" si="2"/>
        <v>audio/112_r2.wav</v>
      </c>
    </row>
    <row r="41" spans="1:19" x14ac:dyDescent="0.2">
      <c r="A41" s="4">
        <v>119</v>
      </c>
      <c r="B41" s="4" t="s">
        <v>632</v>
      </c>
      <c r="C41" s="4" t="s">
        <v>362</v>
      </c>
      <c r="D41" t="s">
        <v>632</v>
      </c>
      <c r="E41" s="4" t="str">
        <f>テーブル1[[#This Row],[item]] &amp; "-" &amp; テーブル1[[#This Row],[plausibility]] &amp; "-" &amp; テーブル1[[#This Row],[task]]</f>
        <v>119-filler-articulation</v>
      </c>
      <c r="F41" s="4" t="s">
        <v>239</v>
      </c>
      <c r="G41" s="4" t="s">
        <v>237</v>
      </c>
      <c r="H41" s="4" t="s">
        <v>438</v>
      </c>
      <c r="I41" s="4" t="s">
        <v>238</v>
      </c>
      <c r="J41" s="4" t="s">
        <v>194</v>
      </c>
      <c r="K41" s="4" t="s">
        <v>122</v>
      </c>
      <c r="L41" s="4">
        <v>4</v>
      </c>
      <c r="M41" s="4">
        <v>10</v>
      </c>
      <c r="N41" s="4">
        <v>11</v>
      </c>
      <c r="O41" s="4">
        <f t="shared" si="0"/>
        <v>21</v>
      </c>
      <c r="P41" s="9">
        <v>2.145</v>
      </c>
      <c r="Q41" s="9">
        <v>1.46</v>
      </c>
      <c r="R41" s="4" t="str">
        <f t="shared" si="1"/>
        <v>audio/119_r1.wav</v>
      </c>
      <c r="S41" s="4" t="str">
        <f t="shared" si="2"/>
        <v>audio/119_r2.wav</v>
      </c>
    </row>
    <row r="42" spans="1:19" x14ac:dyDescent="0.2">
      <c r="A42" s="4">
        <v>120</v>
      </c>
      <c r="B42" s="4" t="s">
        <v>632</v>
      </c>
      <c r="C42" t="s">
        <v>363</v>
      </c>
      <c r="D42" t="s">
        <v>632</v>
      </c>
      <c r="E42" s="4" t="str">
        <f>テーブル1[[#This Row],[item]] &amp; "-" &amp; テーブル1[[#This Row],[plausibility]] &amp; "-" &amp; テーブル1[[#This Row],[task]]</f>
        <v>120-filler-nosecondary</v>
      </c>
      <c r="F42" s="4" t="s">
        <v>305</v>
      </c>
      <c r="G42" s="4" t="s">
        <v>306</v>
      </c>
      <c r="H42" s="4" t="s">
        <v>210</v>
      </c>
      <c r="I42" s="4" t="s">
        <v>211</v>
      </c>
      <c r="J42" s="4" t="s">
        <v>212</v>
      </c>
      <c r="K42" s="4" t="s">
        <v>123</v>
      </c>
      <c r="L42" s="4">
        <v>4</v>
      </c>
      <c r="M42" s="4">
        <v>14</v>
      </c>
      <c r="N42" s="4">
        <v>8</v>
      </c>
      <c r="O42" s="4">
        <f t="shared" si="0"/>
        <v>22</v>
      </c>
      <c r="P42" s="9">
        <v>1.7729999999999999</v>
      </c>
      <c r="Q42" s="9">
        <v>1.974</v>
      </c>
      <c r="R42" s="4" t="str">
        <f t="shared" si="1"/>
        <v>audio/120_r1.wav</v>
      </c>
      <c r="S42" s="4" t="str">
        <f t="shared" si="2"/>
        <v>audio/120_r2.wav</v>
      </c>
    </row>
    <row r="43" spans="1:19" x14ac:dyDescent="0.2">
      <c r="A43" s="4">
        <v>121</v>
      </c>
      <c r="B43" s="4" t="s">
        <v>632</v>
      </c>
      <c r="C43" s="4" t="s">
        <v>362</v>
      </c>
      <c r="D43" t="s">
        <v>632</v>
      </c>
      <c r="E43" s="4" t="str">
        <f>テーブル1[[#This Row],[item]] &amp; "-" &amp; テーブル1[[#This Row],[plausibility]] &amp; "-" &amp; テーブル1[[#This Row],[task]]</f>
        <v>121-filler-articulation</v>
      </c>
      <c r="F43" s="4" t="s">
        <v>240</v>
      </c>
      <c r="G43" s="4" t="s">
        <v>223</v>
      </c>
      <c r="H43" s="4" t="s">
        <v>241</v>
      </c>
      <c r="I43" s="4" t="s">
        <v>199</v>
      </c>
      <c r="J43" s="4" t="s">
        <v>153</v>
      </c>
      <c r="K43" s="4" t="s">
        <v>122</v>
      </c>
      <c r="L43" s="4">
        <v>4</v>
      </c>
      <c r="M43" s="4">
        <v>10</v>
      </c>
      <c r="N43" s="4">
        <v>11</v>
      </c>
      <c r="O43" s="4">
        <f t="shared" si="0"/>
        <v>21</v>
      </c>
      <c r="P43" s="9">
        <v>2.0089999999999999</v>
      </c>
      <c r="Q43" s="9">
        <v>2.0230000000000001</v>
      </c>
      <c r="R43" s="4" t="str">
        <f t="shared" si="1"/>
        <v>audio/121_r1.wav</v>
      </c>
      <c r="S43" s="4" t="str">
        <f t="shared" si="2"/>
        <v>audio/121_r2.wav</v>
      </c>
    </row>
    <row r="44" spans="1:19" x14ac:dyDescent="0.2">
      <c r="A44" s="4">
        <v>134</v>
      </c>
      <c r="B44" s="4" t="s">
        <v>632</v>
      </c>
      <c r="C44" t="s">
        <v>363</v>
      </c>
      <c r="D44" t="s">
        <v>632</v>
      </c>
      <c r="E44" s="4" t="str">
        <f>テーブル1[[#This Row],[item]] &amp; "-" &amp; テーブル1[[#This Row],[plausibility]] &amp; "-" &amp; テーブル1[[#This Row],[task]]</f>
        <v>134-filler-nosecondary</v>
      </c>
      <c r="F44" s="4" t="s">
        <v>300</v>
      </c>
      <c r="G44" s="4" t="s">
        <v>301</v>
      </c>
      <c r="H44" s="4" t="s">
        <v>302</v>
      </c>
      <c r="I44" s="4" t="s">
        <v>304</v>
      </c>
      <c r="J44" s="4" t="s">
        <v>303</v>
      </c>
      <c r="K44" s="4" t="s">
        <v>123</v>
      </c>
      <c r="L44" s="4">
        <v>4</v>
      </c>
      <c r="M44" s="4">
        <v>14</v>
      </c>
      <c r="N44" s="4">
        <v>9</v>
      </c>
      <c r="O44" s="4">
        <f t="shared" si="0"/>
        <v>23</v>
      </c>
      <c r="P44" s="9">
        <v>2.0289999999999999</v>
      </c>
      <c r="Q44" s="9">
        <v>2.11</v>
      </c>
      <c r="R44" s="4" t="str">
        <f t="shared" si="1"/>
        <v>audio/134_r1.wav</v>
      </c>
      <c r="S44" s="4" t="str">
        <f t="shared" si="2"/>
        <v>audio/134_r2.wav</v>
      </c>
    </row>
    <row r="45" spans="1:19" x14ac:dyDescent="0.2">
      <c r="A45" s="4">
        <v>135</v>
      </c>
      <c r="B45" s="4" t="s">
        <v>632</v>
      </c>
      <c r="C45" s="4" t="s">
        <v>362</v>
      </c>
      <c r="D45" t="s">
        <v>632</v>
      </c>
      <c r="E45" s="4" t="str">
        <f>テーブル1[[#This Row],[item]] &amp; "-" &amp; テーブル1[[#This Row],[plausibility]] &amp; "-" &amp; テーブル1[[#This Row],[task]]</f>
        <v>135-filler-articulation</v>
      </c>
      <c r="F45" s="4" t="s">
        <v>280</v>
      </c>
      <c r="G45" s="4" t="s">
        <v>281</v>
      </c>
      <c r="H45" s="4" t="s">
        <v>279</v>
      </c>
      <c r="I45" s="4" t="s">
        <v>284</v>
      </c>
      <c r="J45" s="4" t="s">
        <v>283</v>
      </c>
      <c r="K45" s="4" t="s">
        <v>122</v>
      </c>
      <c r="L45" s="4">
        <v>4</v>
      </c>
      <c r="M45" s="4">
        <v>14</v>
      </c>
      <c r="N45" s="4">
        <v>11</v>
      </c>
      <c r="O45" s="4">
        <f t="shared" si="0"/>
        <v>25</v>
      </c>
      <c r="P45" s="9">
        <v>2.2090000000000001</v>
      </c>
      <c r="Q45" s="9">
        <v>1.91</v>
      </c>
      <c r="R45" s="4" t="str">
        <f t="shared" si="1"/>
        <v>audio/135_r1.wav</v>
      </c>
      <c r="S45" s="4" t="str">
        <f t="shared" si="2"/>
        <v>audio/135_r2.wav</v>
      </c>
    </row>
    <row r="46" spans="1:19" x14ac:dyDescent="0.2">
      <c r="A46" s="4">
        <v>136</v>
      </c>
      <c r="B46" s="4" t="s">
        <v>632</v>
      </c>
      <c r="C46" t="s">
        <v>363</v>
      </c>
      <c r="D46" t="s">
        <v>632</v>
      </c>
      <c r="E46" s="4" t="str">
        <f>テーブル1[[#This Row],[item]] &amp; "-" &amp; テーブル1[[#This Row],[plausibility]] &amp; "-" &amp; テーブル1[[#This Row],[task]]</f>
        <v>136-filler-nosecondary</v>
      </c>
      <c r="F46" s="4" t="s">
        <v>292</v>
      </c>
      <c r="G46" s="4" t="s">
        <v>293</v>
      </c>
      <c r="H46" s="4" t="s">
        <v>287</v>
      </c>
      <c r="I46" s="4" t="s">
        <v>294</v>
      </c>
      <c r="J46" s="4" t="s">
        <v>295</v>
      </c>
      <c r="K46" s="4" t="s">
        <v>123</v>
      </c>
      <c r="L46" s="4">
        <v>4</v>
      </c>
      <c r="M46" s="4">
        <v>13</v>
      </c>
      <c r="N46" s="4">
        <v>10</v>
      </c>
      <c r="O46" s="4">
        <f t="shared" si="0"/>
        <v>23</v>
      </c>
      <c r="P46" s="9">
        <v>2.194</v>
      </c>
      <c r="Q46" s="9">
        <v>1.7589999999999999</v>
      </c>
      <c r="R46" s="4" t="str">
        <f t="shared" si="1"/>
        <v>audio/136_r1.wav</v>
      </c>
      <c r="S46" s="4" t="str">
        <f t="shared" si="2"/>
        <v>audio/136_r2.wav</v>
      </c>
    </row>
    <row r="47" spans="1:19" x14ac:dyDescent="0.2">
      <c r="A47" s="4">
        <v>143</v>
      </c>
      <c r="B47" s="4" t="s">
        <v>632</v>
      </c>
      <c r="C47" s="4" t="s">
        <v>362</v>
      </c>
      <c r="D47" t="s">
        <v>632</v>
      </c>
      <c r="E47" s="4" t="str">
        <f>テーブル1[[#This Row],[item]] &amp; "-" &amp; テーブル1[[#This Row],[plausibility]] &amp; "-" &amp; テーブル1[[#This Row],[task]]</f>
        <v>143-filler-articulation</v>
      </c>
      <c r="F47" s="4" t="s">
        <v>314</v>
      </c>
      <c r="G47" s="4" t="s">
        <v>310</v>
      </c>
      <c r="H47" s="4" t="s">
        <v>315</v>
      </c>
      <c r="I47" s="4" t="s">
        <v>313</v>
      </c>
      <c r="J47" s="4" t="s">
        <v>312</v>
      </c>
      <c r="K47" s="4" t="s">
        <v>122</v>
      </c>
      <c r="L47" s="4">
        <v>4</v>
      </c>
      <c r="M47" s="4">
        <v>13</v>
      </c>
      <c r="N47" s="4">
        <v>8</v>
      </c>
      <c r="O47" s="4">
        <f t="shared" si="0"/>
        <v>21</v>
      </c>
      <c r="P47" s="9">
        <v>2.0840000000000001</v>
      </c>
      <c r="Q47" s="9">
        <v>1.5149999999999999</v>
      </c>
      <c r="R47" s="4" t="str">
        <f t="shared" si="1"/>
        <v>audio/143_r1.wav</v>
      </c>
      <c r="S47" s="4" t="str">
        <f t="shared" si="2"/>
        <v>audio/143_r2.wav</v>
      </c>
    </row>
    <row r="48" spans="1:19" x14ac:dyDescent="0.2">
      <c r="A48" s="4">
        <v>144</v>
      </c>
      <c r="B48" s="4" t="s">
        <v>632</v>
      </c>
      <c r="C48" t="s">
        <v>363</v>
      </c>
      <c r="D48" t="s">
        <v>632</v>
      </c>
      <c r="E48" s="4" t="str">
        <f>テーブル1[[#This Row],[item]] &amp; "-" &amp; テーブル1[[#This Row],[plausibility]] &amp; "-" &amp; テーブル1[[#This Row],[task]]</f>
        <v>144-filler-nosecondary</v>
      </c>
      <c r="F48" s="4" t="s">
        <v>320</v>
      </c>
      <c r="G48" s="4" t="s">
        <v>321</v>
      </c>
      <c r="H48" s="4" t="s">
        <v>323</v>
      </c>
      <c r="I48" s="4" t="s">
        <v>318</v>
      </c>
      <c r="J48" s="4" t="s">
        <v>324</v>
      </c>
      <c r="K48" s="4" t="s">
        <v>123</v>
      </c>
      <c r="L48" s="4">
        <v>4</v>
      </c>
      <c r="M48" s="4">
        <v>12</v>
      </c>
      <c r="N48" s="4">
        <v>11</v>
      </c>
      <c r="O48" s="4">
        <f t="shared" si="0"/>
        <v>23</v>
      </c>
      <c r="P48" s="9">
        <v>1.98</v>
      </c>
      <c r="Q48" s="9">
        <v>1.8049999999999999</v>
      </c>
      <c r="R48" s="4" t="str">
        <f t="shared" si="1"/>
        <v>audio/144_r1.wav</v>
      </c>
      <c r="S48" s="4" t="str">
        <f t="shared" si="2"/>
        <v>audio/144_r2.wav</v>
      </c>
    </row>
    <row r="49" spans="1:19" x14ac:dyDescent="0.2">
      <c r="A49" s="4">
        <v>145</v>
      </c>
      <c r="B49" s="4" t="s">
        <v>632</v>
      </c>
      <c r="C49" s="4" t="s">
        <v>362</v>
      </c>
      <c r="D49" t="s">
        <v>632</v>
      </c>
      <c r="E49" s="4" t="str">
        <f>テーブル1[[#This Row],[item]] &amp; "-" &amp; テーブル1[[#This Row],[plausibility]] &amp; "-" &amp; テーブル1[[#This Row],[task]]</f>
        <v>145-filler-articulation</v>
      </c>
      <c r="F49" s="4" t="s">
        <v>425</v>
      </c>
      <c r="G49" s="4" t="s">
        <v>355</v>
      </c>
      <c r="H49" s="4" t="s">
        <v>356</v>
      </c>
      <c r="I49" s="4" t="s">
        <v>353</v>
      </c>
      <c r="J49" s="4" t="s">
        <v>352</v>
      </c>
      <c r="K49" s="4" t="s">
        <v>122</v>
      </c>
      <c r="L49" s="4">
        <v>4</v>
      </c>
      <c r="M49" s="4">
        <v>12</v>
      </c>
      <c r="N49" s="4">
        <v>11</v>
      </c>
      <c r="O49" s="4">
        <f t="shared" si="0"/>
        <v>23</v>
      </c>
      <c r="P49" s="9">
        <v>1.9530000000000001</v>
      </c>
      <c r="Q49" s="9">
        <v>2.11</v>
      </c>
      <c r="R49" s="4" t="str">
        <f t="shared" si="1"/>
        <v>audio/145_r1.wav</v>
      </c>
      <c r="S49" s="4" t="str">
        <f t="shared" si="2"/>
        <v>audio/145_r2.wav</v>
      </c>
    </row>
  </sheetData>
  <phoneticPr fontId="4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2298-CBC3-8241-924A-AC52AD4D2B68}">
  <dimension ref="A1:H193"/>
  <sheetViews>
    <sheetView zoomScale="91" workbookViewId="0">
      <selection activeCell="H8" sqref="H8"/>
    </sheetView>
  </sheetViews>
  <sheetFormatPr baseColWidth="10" defaultColWidth="10.6640625" defaultRowHeight="16" x14ac:dyDescent="0.2"/>
  <cols>
    <col min="5" max="5" width="13.33203125" customWidth="1"/>
    <col min="6" max="6" width="15.83203125" customWidth="1"/>
    <col min="8" max="8" width="34.5" customWidth="1"/>
  </cols>
  <sheetData>
    <row r="1" spans="1:8" x14ac:dyDescent="0.2">
      <c r="A1" t="s">
        <v>365</v>
      </c>
      <c r="B1" t="s">
        <v>367</v>
      </c>
      <c r="C1" t="s">
        <v>357</v>
      </c>
      <c r="D1" t="s">
        <v>76</v>
      </c>
      <c r="E1" t="s">
        <v>358</v>
      </c>
      <c r="F1" t="s">
        <v>361</v>
      </c>
      <c r="G1" t="s">
        <v>360</v>
      </c>
      <c r="H1" t="s">
        <v>368</v>
      </c>
    </row>
    <row r="2" spans="1:8" x14ac:dyDescent="0.2">
      <c r="A2">
        <v>1</v>
      </c>
      <c r="B2">
        <v>1</v>
      </c>
      <c r="C2">
        <v>1</v>
      </c>
      <c r="D2">
        <v>1</v>
      </c>
      <c r="E2" t="s">
        <v>359</v>
      </c>
      <c r="F2" t="s">
        <v>362</v>
      </c>
      <c r="G2" t="s">
        <v>360</v>
      </c>
      <c r="H2" t="str">
        <f>Table2[[#This Row],[item]] &amp; "-" &amp; Table2[[#This Row],[plausibility]] &amp; "-" &amp; Table2[[#This Row],[task]] &amp; "-" &amp; Table2[[#This Row],[n12]]</f>
        <v>1-plausible-articulation-n12</v>
      </c>
    </row>
    <row r="3" spans="1:8" x14ac:dyDescent="0.2">
      <c r="A3">
        <v>5</v>
      </c>
      <c r="B3">
        <v>1</v>
      </c>
      <c r="C3">
        <v>1</v>
      </c>
      <c r="D3">
        <v>4</v>
      </c>
      <c r="E3" t="s">
        <v>359</v>
      </c>
      <c r="F3" t="s">
        <v>362</v>
      </c>
      <c r="G3" t="s">
        <v>364</v>
      </c>
      <c r="H3" t="str">
        <f>Table2[[#This Row],[item]] &amp; "-" &amp; Table2[[#This Row],[plausibility]] &amp; "-" &amp; Table2[[#This Row],[task]] &amp; "-" &amp; Table2[[#This Row],[n12]]</f>
        <v>4-plausible-articulation-n21</v>
      </c>
    </row>
    <row r="4" spans="1:8" x14ac:dyDescent="0.2">
      <c r="A4">
        <v>2</v>
      </c>
      <c r="B4">
        <v>1</v>
      </c>
      <c r="C4">
        <v>1</v>
      </c>
      <c r="D4">
        <v>6</v>
      </c>
      <c r="E4" t="s">
        <v>366</v>
      </c>
      <c r="F4" t="s">
        <v>362</v>
      </c>
      <c r="G4" t="s">
        <v>360</v>
      </c>
      <c r="H4" t="str">
        <f>Table2[[#This Row],[item]] &amp; "-" &amp; Table2[[#This Row],[plausibility]] &amp; "-" &amp; Table2[[#This Row],[task]] &amp; "-" &amp; Table2[[#This Row],[n12]]</f>
        <v>6-implausible-articulation-n12</v>
      </c>
    </row>
    <row r="5" spans="1:8" x14ac:dyDescent="0.2">
      <c r="A5">
        <v>6</v>
      </c>
      <c r="B5">
        <v>1</v>
      </c>
      <c r="C5">
        <v>1</v>
      </c>
      <c r="D5">
        <v>8</v>
      </c>
      <c r="E5" t="s">
        <v>366</v>
      </c>
      <c r="F5" t="s">
        <v>363</v>
      </c>
      <c r="G5" t="s">
        <v>360</v>
      </c>
      <c r="H5" t="str">
        <f>Table2[[#This Row],[item]] &amp; "-" &amp; Table2[[#This Row],[plausibility]] &amp; "-" &amp; Table2[[#This Row],[task]] &amp; "-" &amp; Table2[[#This Row],[n12]]</f>
        <v>8-implausible-nosecondary-n12</v>
      </c>
    </row>
    <row r="6" spans="1:8" x14ac:dyDescent="0.2">
      <c r="A6">
        <v>5</v>
      </c>
      <c r="B6">
        <v>1</v>
      </c>
      <c r="C6">
        <v>1</v>
      </c>
      <c r="D6">
        <v>10</v>
      </c>
      <c r="E6" t="s">
        <v>359</v>
      </c>
      <c r="F6" t="s">
        <v>363</v>
      </c>
      <c r="G6" t="s">
        <v>364</v>
      </c>
      <c r="H6" t="str">
        <f>Table2[[#This Row],[item]] &amp; "-" &amp; Table2[[#This Row],[plausibility]] &amp; "-" &amp; Table2[[#This Row],[task]] &amp; "-" &amp; Table2[[#This Row],[n12]]</f>
        <v>10-plausible-nosecondary-n21</v>
      </c>
    </row>
    <row r="7" spans="1:8" x14ac:dyDescent="0.2">
      <c r="A7">
        <v>5</v>
      </c>
      <c r="B7">
        <v>1</v>
      </c>
      <c r="C7">
        <v>1</v>
      </c>
      <c r="D7">
        <v>11</v>
      </c>
      <c r="E7" t="s">
        <v>359</v>
      </c>
      <c r="F7" t="s">
        <v>363</v>
      </c>
      <c r="G7" t="s">
        <v>360</v>
      </c>
      <c r="H7" t="str">
        <f>Table2[[#This Row],[item]] &amp; "-" &amp; Table2[[#This Row],[plausibility]] &amp; "-" &amp; Table2[[#This Row],[task]] &amp; "-" &amp; Table2[[#This Row],[n12]]</f>
        <v>11-plausible-nosecondary-n12</v>
      </c>
    </row>
    <row r="8" spans="1:8" x14ac:dyDescent="0.2">
      <c r="A8">
        <v>4</v>
      </c>
      <c r="B8">
        <v>1</v>
      </c>
      <c r="C8">
        <v>1</v>
      </c>
      <c r="D8">
        <v>13</v>
      </c>
      <c r="E8" t="s">
        <v>366</v>
      </c>
      <c r="F8" t="s">
        <v>363</v>
      </c>
      <c r="G8" t="s">
        <v>364</v>
      </c>
      <c r="H8" t="str">
        <f>Table2[[#This Row],[item]] &amp; "-" &amp; Table2[[#This Row],[plausibility]] &amp; "-" &amp; Table2[[#This Row],[task]] &amp; "-" &amp; Table2[[#This Row],[n12]]</f>
        <v>13-implausible-nosecondary-n21</v>
      </c>
    </row>
    <row r="9" spans="1:8" x14ac:dyDescent="0.2">
      <c r="A9">
        <v>4</v>
      </c>
      <c r="B9">
        <v>1</v>
      </c>
      <c r="C9">
        <v>1</v>
      </c>
      <c r="D9">
        <v>15</v>
      </c>
      <c r="E9" t="s">
        <v>366</v>
      </c>
      <c r="F9" t="s">
        <v>362</v>
      </c>
      <c r="G9" t="s">
        <v>364</v>
      </c>
      <c r="H9" t="str">
        <f>Table2[[#This Row],[item]] &amp; "-" &amp; Table2[[#This Row],[plausibility]] &amp; "-" &amp; Table2[[#This Row],[task]] &amp; "-" &amp; Table2[[#This Row],[n12]]</f>
        <v>15-implausible-articulation-n21</v>
      </c>
    </row>
    <row r="10" spans="1:8" x14ac:dyDescent="0.2">
      <c r="A10">
        <v>1</v>
      </c>
      <c r="B10">
        <v>1</v>
      </c>
      <c r="C10">
        <v>1</v>
      </c>
      <c r="D10">
        <v>17</v>
      </c>
      <c r="E10" t="s">
        <v>359</v>
      </c>
      <c r="F10" t="s">
        <v>362</v>
      </c>
      <c r="G10" t="s">
        <v>360</v>
      </c>
      <c r="H10" t="str">
        <f>Table2[[#This Row],[item]] &amp; "-" &amp; Table2[[#This Row],[plausibility]] &amp; "-" &amp; Table2[[#This Row],[task]] &amp; "-" &amp; Table2[[#This Row],[n12]]</f>
        <v>17-plausible-articulation-n12</v>
      </c>
    </row>
    <row r="11" spans="1:8" x14ac:dyDescent="0.2">
      <c r="A11">
        <v>5</v>
      </c>
      <c r="B11">
        <v>1</v>
      </c>
      <c r="C11">
        <v>1</v>
      </c>
      <c r="D11">
        <v>19</v>
      </c>
      <c r="E11" t="s">
        <v>359</v>
      </c>
      <c r="F11" t="s">
        <v>363</v>
      </c>
      <c r="G11" t="s">
        <v>360</v>
      </c>
      <c r="H11" t="str">
        <f>Table2[[#This Row],[item]] &amp; "-" &amp; Table2[[#This Row],[plausibility]] &amp; "-" &amp; Table2[[#This Row],[task]] &amp; "-" &amp; Table2[[#This Row],[n12]]</f>
        <v>19-plausible-nosecondary-n12</v>
      </c>
    </row>
    <row r="12" spans="1:8" x14ac:dyDescent="0.2">
      <c r="A12">
        <v>4</v>
      </c>
      <c r="B12">
        <v>1</v>
      </c>
      <c r="C12">
        <v>1</v>
      </c>
      <c r="D12">
        <v>21</v>
      </c>
      <c r="E12" t="s">
        <v>366</v>
      </c>
      <c r="F12" t="s">
        <v>363</v>
      </c>
      <c r="G12" t="s">
        <v>364</v>
      </c>
      <c r="H12" t="str">
        <f>Table2[[#This Row],[item]] &amp; "-" &amp; Table2[[#This Row],[plausibility]] &amp; "-" &amp; Table2[[#This Row],[task]] &amp; "-" &amp; Table2[[#This Row],[n12]]</f>
        <v>21-implausible-nosecondary-n21</v>
      </c>
    </row>
    <row r="13" spans="1:8" s="6" customFormat="1" x14ac:dyDescent="0.2">
      <c r="A13" s="6">
        <v>4</v>
      </c>
      <c r="B13" s="6">
        <v>1</v>
      </c>
      <c r="C13" s="6">
        <v>1</v>
      </c>
      <c r="D13" s="6">
        <v>23</v>
      </c>
      <c r="E13" s="6" t="s">
        <v>366</v>
      </c>
      <c r="F13" s="6" t="s">
        <v>362</v>
      </c>
      <c r="G13" s="6" t="s">
        <v>364</v>
      </c>
      <c r="H13" s="6" t="str">
        <f>Table2[[#This Row],[item]] &amp; "-" &amp; Table2[[#This Row],[plausibility]] &amp; "-" &amp; Table2[[#This Row],[task]] &amp; "-" &amp; Table2[[#This Row],[n12]]</f>
        <v>23-implausible-articulation-n21</v>
      </c>
    </row>
    <row r="14" spans="1:8" x14ac:dyDescent="0.2">
      <c r="A14">
        <v>5</v>
      </c>
      <c r="B14">
        <v>1</v>
      </c>
      <c r="C14">
        <v>2</v>
      </c>
      <c r="D14">
        <v>2</v>
      </c>
      <c r="E14" t="s">
        <v>359</v>
      </c>
      <c r="F14" t="s">
        <v>363</v>
      </c>
      <c r="G14" t="s">
        <v>364</v>
      </c>
      <c r="H14" t="str">
        <f>Table2[[#This Row],[item]] &amp; "-" &amp; Table2[[#This Row],[plausibility]] &amp; "-" &amp; Table2[[#This Row],[task]] &amp; "-" &amp; Table2[[#This Row],[n12]]</f>
        <v>2-plausible-nosecondary-n21</v>
      </c>
    </row>
    <row r="15" spans="1:8" x14ac:dyDescent="0.2">
      <c r="A15">
        <v>5</v>
      </c>
      <c r="B15">
        <v>1</v>
      </c>
      <c r="C15">
        <v>2</v>
      </c>
      <c r="D15">
        <v>3</v>
      </c>
      <c r="E15" t="s">
        <v>359</v>
      </c>
      <c r="F15" t="s">
        <v>363</v>
      </c>
      <c r="G15" t="s">
        <v>360</v>
      </c>
      <c r="H15" t="str">
        <f>Table2[[#This Row],[item]] &amp; "-" &amp; Table2[[#This Row],[plausibility]] &amp; "-" &amp; Table2[[#This Row],[task]] &amp; "-" &amp; Table2[[#This Row],[n12]]</f>
        <v>3-plausible-nosecondary-n12</v>
      </c>
    </row>
    <row r="16" spans="1:8" x14ac:dyDescent="0.2">
      <c r="A16">
        <v>4</v>
      </c>
      <c r="B16">
        <v>1</v>
      </c>
      <c r="C16">
        <v>2</v>
      </c>
      <c r="D16">
        <v>5</v>
      </c>
      <c r="E16" t="s">
        <v>366</v>
      </c>
      <c r="F16" t="s">
        <v>363</v>
      </c>
      <c r="G16" t="s">
        <v>364</v>
      </c>
      <c r="H16" t="str">
        <f>Table2[[#This Row],[item]] &amp; "-" &amp; Table2[[#This Row],[plausibility]] &amp; "-" &amp; Table2[[#This Row],[task]] &amp; "-" &amp; Table2[[#This Row],[n12]]</f>
        <v>5-implausible-nosecondary-n21</v>
      </c>
    </row>
    <row r="17" spans="1:8" x14ac:dyDescent="0.2">
      <c r="A17">
        <v>4</v>
      </c>
      <c r="B17">
        <v>1</v>
      </c>
      <c r="C17">
        <v>2</v>
      </c>
      <c r="D17">
        <v>7</v>
      </c>
      <c r="E17" t="s">
        <v>366</v>
      </c>
      <c r="F17" t="s">
        <v>362</v>
      </c>
      <c r="G17" t="s">
        <v>364</v>
      </c>
      <c r="H17" t="str">
        <f>Table2[[#This Row],[item]] &amp; "-" &amp; Table2[[#This Row],[plausibility]] &amp; "-" &amp; Table2[[#This Row],[task]] &amp; "-" &amp; Table2[[#This Row],[n12]]</f>
        <v>7-implausible-articulation-n21</v>
      </c>
    </row>
    <row r="18" spans="1:8" x14ac:dyDescent="0.2">
      <c r="A18">
        <v>1</v>
      </c>
      <c r="B18">
        <v>1</v>
      </c>
      <c r="C18">
        <v>2</v>
      </c>
      <c r="D18">
        <v>9</v>
      </c>
      <c r="E18" t="s">
        <v>359</v>
      </c>
      <c r="F18" t="s">
        <v>362</v>
      </c>
      <c r="G18" t="s">
        <v>360</v>
      </c>
      <c r="H18" t="str">
        <f>Table2[[#This Row],[item]] &amp; "-" &amp; Table2[[#This Row],[plausibility]] &amp; "-" &amp; Table2[[#This Row],[task]] &amp; "-" &amp; Table2[[#This Row],[n12]]</f>
        <v>9-plausible-articulation-n12</v>
      </c>
    </row>
    <row r="19" spans="1:8" x14ac:dyDescent="0.2">
      <c r="A19">
        <v>5</v>
      </c>
      <c r="B19">
        <v>1</v>
      </c>
      <c r="C19">
        <v>2</v>
      </c>
      <c r="D19">
        <v>12</v>
      </c>
      <c r="E19" t="s">
        <v>359</v>
      </c>
      <c r="F19" t="s">
        <v>362</v>
      </c>
      <c r="G19" t="s">
        <v>364</v>
      </c>
      <c r="H19" t="str">
        <f>Table2[[#This Row],[item]] &amp; "-" &amp; Table2[[#This Row],[plausibility]] &amp; "-" &amp; Table2[[#This Row],[task]] &amp; "-" &amp; Table2[[#This Row],[n12]]</f>
        <v>12-plausible-articulation-n21</v>
      </c>
    </row>
    <row r="20" spans="1:8" x14ac:dyDescent="0.2">
      <c r="A20">
        <v>2</v>
      </c>
      <c r="B20">
        <v>1</v>
      </c>
      <c r="C20">
        <v>2</v>
      </c>
      <c r="D20">
        <v>14</v>
      </c>
      <c r="E20" t="s">
        <v>366</v>
      </c>
      <c r="F20" t="s">
        <v>362</v>
      </c>
      <c r="G20" t="s">
        <v>360</v>
      </c>
      <c r="H20" t="str">
        <f>Table2[[#This Row],[item]] &amp; "-" &amp; Table2[[#This Row],[plausibility]] &amp; "-" &amp; Table2[[#This Row],[task]] &amp; "-" &amp; Table2[[#This Row],[n12]]</f>
        <v>14-implausible-articulation-n12</v>
      </c>
    </row>
    <row r="21" spans="1:8" x14ac:dyDescent="0.2">
      <c r="A21">
        <v>6</v>
      </c>
      <c r="B21">
        <v>1</v>
      </c>
      <c r="C21">
        <v>2</v>
      </c>
      <c r="D21">
        <v>16</v>
      </c>
      <c r="E21" t="s">
        <v>366</v>
      </c>
      <c r="F21" t="s">
        <v>363</v>
      </c>
      <c r="G21" t="s">
        <v>360</v>
      </c>
      <c r="H21" t="str">
        <f>Table2[[#This Row],[item]] &amp; "-" &amp; Table2[[#This Row],[plausibility]] &amp; "-" &amp; Table2[[#This Row],[task]] &amp; "-" &amp; Table2[[#This Row],[n12]]</f>
        <v>16-implausible-nosecondary-n12</v>
      </c>
    </row>
    <row r="22" spans="1:8" x14ac:dyDescent="0.2">
      <c r="A22">
        <v>5</v>
      </c>
      <c r="B22">
        <v>1</v>
      </c>
      <c r="C22">
        <v>2</v>
      </c>
      <c r="D22">
        <v>18</v>
      </c>
      <c r="E22" t="s">
        <v>359</v>
      </c>
      <c r="F22" t="s">
        <v>363</v>
      </c>
      <c r="G22" t="s">
        <v>364</v>
      </c>
      <c r="H22" t="str">
        <f>Table2[[#This Row],[item]] &amp; "-" &amp; Table2[[#This Row],[plausibility]] &amp; "-" &amp; Table2[[#This Row],[task]] &amp; "-" &amp; Table2[[#This Row],[n12]]</f>
        <v>18-plausible-nosecondary-n21</v>
      </c>
    </row>
    <row r="23" spans="1:8" x14ac:dyDescent="0.2">
      <c r="A23">
        <v>5</v>
      </c>
      <c r="B23">
        <v>1</v>
      </c>
      <c r="C23">
        <v>2</v>
      </c>
      <c r="D23">
        <v>20</v>
      </c>
      <c r="E23" t="s">
        <v>359</v>
      </c>
      <c r="F23" t="s">
        <v>362</v>
      </c>
      <c r="G23" t="s">
        <v>364</v>
      </c>
      <c r="H23" t="str">
        <f>Table2[[#This Row],[item]] &amp; "-" &amp; Table2[[#This Row],[plausibility]] &amp; "-" &amp; Table2[[#This Row],[task]] &amp; "-" &amp; Table2[[#This Row],[n12]]</f>
        <v>20-plausible-articulation-n21</v>
      </c>
    </row>
    <row r="24" spans="1:8" x14ac:dyDescent="0.2">
      <c r="A24">
        <v>2</v>
      </c>
      <c r="B24">
        <v>1</v>
      </c>
      <c r="C24">
        <v>2</v>
      </c>
      <c r="D24">
        <v>22</v>
      </c>
      <c r="E24" t="s">
        <v>366</v>
      </c>
      <c r="F24" t="s">
        <v>362</v>
      </c>
      <c r="G24" t="s">
        <v>360</v>
      </c>
      <c r="H24" t="str">
        <f>Table2[[#This Row],[item]] &amp; "-" &amp; Table2[[#This Row],[plausibility]] &amp; "-" &amp; Table2[[#This Row],[task]] &amp; "-" &amp; Table2[[#This Row],[n12]]</f>
        <v>22-implausible-articulation-n12</v>
      </c>
    </row>
    <row r="25" spans="1:8" s="6" customFormat="1" x14ac:dyDescent="0.2">
      <c r="A25" s="6">
        <v>6</v>
      </c>
      <c r="B25" s="6">
        <v>1</v>
      </c>
      <c r="C25" s="6">
        <v>2</v>
      </c>
      <c r="D25" s="6">
        <v>24</v>
      </c>
      <c r="E25" s="6" t="s">
        <v>366</v>
      </c>
      <c r="F25" s="6" t="s">
        <v>363</v>
      </c>
      <c r="G25" s="6" t="s">
        <v>360</v>
      </c>
      <c r="H25" s="6" t="str">
        <f>Table2[[#This Row],[item]] &amp; "-" &amp; Table2[[#This Row],[plausibility]] &amp; "-" &amp; Table2[[#This Row],[task]] &amp; "-" &amp; Table2[[#This Row],[n12]]</f>
        <v>24-implausible-nosecondary-n12</v>
      </c>
    </row>
    <row r="26" spans="1:8" x14ac:dyDescent="0.2">
      <c r="A26">
        <v>8</v>
      </c>
      <c r="B26">
        <v>1</v>
      </c>
      <c r="C26">
        <v>3</v>
      </c>
      <c r="D26">
        <v>1</v>
      </c>
      <c r="E26" t="s">
        <v>366</v>
      </c>
      <c r="F26" t="s">
        <v>363</v>
      </c>
      <c r="G26" t="s">
        <v>364</v>
      </c>
      <c r="H26" t="str">
        <f>Table2[[#This Row],[item]] &amp; "-" &amp; Table2[[#This Row],[plausibility]] &amp; "-" &amp; Table2[[#This Row],[task]] &amp; "-" &amp; Table2[[#This Row],[n12]]</f>
        <v>1-implausible-nosecondary-n21</v>
      </c>
    </row>
    <row r="27" spans="1:8" x14ac:dyDescent="0.2">
      <c r="A27">
        <v>2</v>
      </c>
      <c r="B27">
        <v>1</v>
      </c>
      <c r="C27">
        <v>3</v>
      </c>
      <c r="D27">
        <v>4</v>
      </c>
      <c r="E27" t="s">
        <v>366</v>
      </c>
      <c r="F27" t="s">
        <v>363</v>
      </c>
      <c r="G27" t="s">
        <v>360</v>
      </c>
      <c r="H27" t="str">
        <f>Table2[[#This Row],[item]] &amp; "-" &amp; Table2[[#This Row],[plausibility]] &amp; "-" &amp; Table2[[#This Row],[task]] &amp; "-" &amp; Table2[[#This Row],[n12]]</f>
        <v>4-implausible-nosecondary-n12</v>
      </c>
    </row>
    <row r="28" spans="1:8" x14ac:dyDescent="0.2">
      <c r="A28">
        <v>1</v>
      </c>
      <c r="B28">
        <v>1</v>
      </c>
      <c r="C28">
        <v>3</v>
      </c>
      <c r="D28">
        <v>6</v>
      </c>
      <c r="E28" t="s">
        <v>359</v>
      </c>
      <c r="F28" t="s">
        <v>363</v>
      </c>
      <c r="G28" t="s">
        <v>364</v>
      </c>
      <c r="H28" t="str">
        <f>Table2[[#This Row],[item]] &amp; "-" &amp; Table2[[#This Row],[plausibility]] &amp; "-" &amp; Table2[[#This Row],[task]] &amp; "-" &amp; Table2[[#This Row],[n12]]</f>
        <v>6-plausible-nosecondary-n21</v>
      </c>
    </row>
    <row r="29" spans="1:8" x14ac:dyDescent="0.2">
      <c r="A29">
        <v>1</v>
      </c>
      <c r="B29">
        <v>1</v>
      </c>
      <c r="C29">
        <v>3</v>
      </c>
      <c r="D29">
        <v>8</v>
      </c>
      <c r="E29" t="s">
        <v>359</v>
      </c>
      <c r="F29" t="s">
        <v>362</v>
      </c>
      <c r="G29" t="s">
        <v>364</v>
      </c>
      <c r="H29" t="str">
        <f>Table2[[#This Row],[item]] &amp; "-" &amp; Table2[[#This Row],[plausibility]] &amp; "-" &amp; Table2[[#This Row],[task]] &amp; "-" &amp; Table2[[#This Row],[n12]]</f>
        <v>8-plausible-articulation-n21</v>
      </c>
    </row>
    <row r="30" spans="1:8" x14ac:dyDescent="0.2">
      <c r="A30">
        <v>6</v>
      </c>
      <c r="B30">
        <v>1</v>
      </c>
      <c r="C30">
        <v>3</v>
      </c>
      <c r="D30">
        <v>10</v>
      </c>
      <c r="E30" t="s">
        <v>366</v>
      </c>
      <c r="F30" t="s">
        <v>362</v>
      </c>
      <c r="G30" t="s">
        <v>360</v>
      </c>
      <c r="H30" t="str">
        <f>Table2[[#This Row],[item]] &amp; "-" &amp; Table2[[#This Row],[plausibility]] &amp; "-" &amp; Table2[[#This Row],[task]] &amp; "-" &amp; Table2[[#This Row],[n12]]</f>
        <v>10-implausible-articulation-n12</v>
      </c>
    </row>
    <row r="31" spans="1:8" x14ac:dyDescent="0.2">
      <c r="A31">
        <v>8</v>
      </c>
      <c r="B31">
        <v>1</v>
      </c>
      <c r="C31">
        <v>3</v>
      </c>
      <c r="D31">
        <v>11</v>
      </c>
      <c r="E31" t="s">
        <v>366</v>
      </c>
      <c r="F31" t="s">
        <v>362</v>
      </c>
      <c r="G31" t="s">
        <v>364</v>
      </c>
      <c r="H31" t="str">
        <f>Table2[[#This Row],[item]] &amp; "-" &amp; Table2[[#This Row],[plausibility]] &amp; "-" &amp; Table2[[#This Row],[task]] &amp; "-" &amp; Table2[[#This Row],[n12]]</f>
        <v>11-implausible-articulation-n21</v>
      </c>
    </row>
    <row r="32" spans="1:8" x14ac:dyDescent="0.2">
      <c r="A32">
        <v>5</v>
      </c>
      <c r="B32">
        <v>1</v>
      </c>
      <c r="C32">
        <v>3</v>
      </c>
      <c r="D32">
        <v>13</v>
      </c>
      <c r="E32" t="s">
        <v>359</v>
      </c>
      <c r="F32" t="s">
        <v>362</v>
      </c>
      <c r="G32" t="s">
        <v>360</v>
      </c>
      <c r="H32" t="str">
        <f>Table2[[#This Row],[item]] &amp; "-" &amp; Table2[[#This Row],[plausibility]] &amp; "-" &amp; Table2[[#This Row],[task]] &amp; "-" &amp; Table2[[#This Row],[n12]]</f>
        <v>13-plausible-articulation-n12</v>
      </c>
    </row>
    <row r="33" spans="1:8" x14ac:dyDescent="0.2">
      <c r="A33">
        <v>1</v>
      </c>
      <c r="B33">
        <v>1</v>
      </c>
      <c r="C33">
        <v>3</v>
      </c>
      <c r="D33">
        <v>15</v>
      </c>
      <c r="E33" t="s">
        <v>359</v>
      </c>
      <c r="F33" t="s">
        <v>363</v>
      </c>
      <c r="G33" t="s">
        <v>360</v>
      </c>
      <c r="H33" t="str">
        <f>Table2[[#This Row],[item]] &amp; "-" &amp; Table2[[#This Row],[plausibility]] &amp; "-" &amp; Table2[[#This Row],[task]] &amp; "-" &amp; Table2[[#This Row],[n12]]</f>
        <v>15-plausible-nosecondary-n12</v>
      </c>
    </row>
    <row r="34" spans="1:8" x14ac:dyDescent="0.2">
      <c r="A34">
        <v>8</v>
      </c>
      <c r="B34">
        <v>1</v>
      </c>
      <c r="C34">
        <v>3</v>
      </c>
      <c r="D34">
        <v>17</v>
      </c>
      <c r="E34" t="s">
        <v>366</v>
      </c>
      <c r="F34" t="s">
        <v>363</v>
      </c>
      <c r="G34" t="s">
        <v>364</v>
      </c>
      <c r="H34" t="str">
        <f>Table2[[#This Row],[item]] &amp; "-" &amp; Table2[[#This Row],[plausibility]] &amp; "-" &amp; Table2[[#This Row],[task]] &amp; "-" &amp; Table2[[#This Row],[n12]]</f>
        <v>17-implausible-nosecondary-n21</v>
      </c>
    </row>
    <row r="35" spans="1:8" x14ac:dyDescent="0.2">
      <c r="A35">
        <v>8</v>
      </c>
      <c r="B35">
        <v>1</v>
      </c>
      <c r="C35">
        <v>3</v>
      </c>
      <c r="D35">
        <v>19</v>
      </c>
      <c r="E35" t="s">
        <v>366</v>
      </c>
      <c r="F35" t="s">
        <v>362</v>
      </c>
      <c r="G35" t="s">
        <v>364</v>
      </c>
      <c r="H35" t="str">
        <f>Table2[[#This Row],[item]] &amp; "-" &amp; Table2[[#This Row],[plausibility]] &amp; "-" &amp; Table2[[#This Row],[task]] &amp; "-" &amp; Table2[[#This Row],[n12]]</f>
        <v>19-implausible-articulation-n21</v>
      </c>
    </row>
    <row r="36" spans="1:8" x14ac:dyDescent="0.2">
      <c r="A36">
        <v>5</v>
      </c>
      <c r="B36">
        <v>1</v>
      </c>
      <c r="C36">
        <v>3</v>
      </c>
      <c r="D36">
        <v>21</v>
      </c>
      <c r="E36" t="s">
        <v>359</v>
      </c>
      <c r="F36" t="s">
        <v>362</v>
      </c>
      <c r="G36" t="s">
        <v>360</v>
      </c>
      <c r="H36" t="str">
        <f>Table2[[#This Row],[item]] &amp; "-" &amp; Table2[[#This Row],[plausibility]] &amp; "-" &amp; Table2[[#This Row],[task]] &amp; "-" &amp; Table2[[#This Row],[n12]]</f>
        <v>21-plausible-articulation-n12</v>
      </c>
    </row>
    <row r="37" spans="1:8" s="6" customFormat="1" x14ac:dyDescent="0.2">
      <c r="A37" s="6">
        <v>1</v>
      </c>
      <c r="B37" s="6">
        <v>1</v>
      </c>
      <c r="C37" s="6">
        <v>3</v>
      </c>
      <c r="D37" s="6">
        <v>23</v>
      </c>
      <c r="E37" s="6" t="s">
        <v>359</v>
      </c>
      <c r="F37" s="6" t="s">
        <v>363</v>
      </c>
      <c r="G37" s="6" t="s">
        <v>360</v>
      </c>
      <c r="H37" s="6" t="str">
        <f>Table2[[#This Row],[item]] &amp; "-" &amp; Table2[[#This Row],[plausibility]] &amp; "-" &amp; Table2[[#This Row],[task]] &amp; "-" &amp; Table2[[#This Row],[n12]]</f>
        <v>23-plausible-nosecondary-n12</v>
      </c>
    </row>
    <row r="38" spans="1:8" x14ac:dyDescent="0.2">
      <c r="A38">
        <v>6</v>
      </c>
      <c r="B38">
        <v>1</v>
      </c>
      <c r="C38">
        <v>4</v>
      </c>
      <c r="D38">
        <v>2</v>
      </c>
      <c r="E38" t="s">
        <v>366</v>
      </c>
      <c r="F38" t="s">
        <v>362</v>
      </c>
      <c r="G38" t="s">
        <v>360</v>
      </c>
      <c r="H38" t="str">
        <f>Table2[[#This Row],[item]] &amp; "-" &amp; Table2[[#This Row],[plausibility]] &amp; "-" &amp; Table2[[#This Row],[task]] &amp; "-" &amp; Table2[[#This Row],[n12]]</f>
        <v>2-implausible-articulation-n12</v>
      </c>
    </row>
    <row r="39" spans="1:8" x14ac:dyDescent="0.2">
      <c r="A39">
        <v>8</v>
      </c>
      <c r="B39">
        <v>1</v>
      </c>
      <c r="C39">
        <v>4</v>
      </c>
      <c r="D39">
        <v>3</v>
      </c>
      <c r="E39" t="s">
        <v>366</v>
      </c>
      <c r="F39" t="s">
        <v>362</v>
      </c>
      <c r="G39" t="s">
        <v>364</v>
      </c>
      <c r="H39" t="str">
        <f>Table2[[#This Row],[item]] &amp; "-" &amp; Table2[[#This Row],[plausibility]] &amp; "-" &amp; Table2[[#This Row],[task]] &amp; "-" &amp; Table2[[#This Row],[n12]]</f>
        <v>3-implausible-articulation-n21</v>
      </c>
    </row>
    <row r="40" spans="1:8" x14ac:dyDescent="0.2">
      <c r="A40">
        <v>5</v>
      </c>
      <c r="B40">
        <v>1</v>
      </c>
      <c r="C40">
        <v>4</v>
      </c>
      <c r="D40">
        <v>5</v>
      </c>
      <c r="E40" t="s">
        <v>359</v>
      </c>
      <c r="F40" t="s">
        <v>362</v>
      </c>
      <c r="G40" t="s">
        <v>360</v>
      </c>
      <c r="H40" t="str">
        <f>Table2[[#This Row],[item]] &amp; "-" &amp; Table2[[#This Row],[plausibility]] &amp; "-" &amp; Table2[[#This Row],[task]] &amp; "-" &amp; Table2[[#This Row],[n12]]</f>
        <v>5-plausible-articulation-n12</v>
      </c>
    </row>
    <row r="41" spans="1:8" x14ac:dyDescent="0.2">
      <c r="A41">
        <v>1</v>
      </c>
      <c r="B41">
        <v>1</v>
      </c>
      <c r="C41">
        <v>4</v>
      </c>
      <c r="D41">
        <v>7</v>
      </c>
      <c r="E41" t="s">
        <v>359</v>
      </c>
      <c r="F41" t="s">
        <v>363</v>
      </c>
      <c r="G41" t="s">
        <v>360</v>
      </c>
      <c r="H41" t="str">
        <f>Table2[[#This Row],[item]] &amp; "-" &amp; Table2[[#This Row],[plausibility]] &amp; "-" &amp; Table2[[#This Row],[task]] &amp; "-" &amp; Table2[[#This Row],[n12]]</f>
        <v>7-plausible-nosecondary-n12</v>
      </c>
    </row>
    <row r="42" spans="1:8" x14ac:dyDescent="0.2">
      <c r="A42">
        <v>8</v>
      </c>
      <c r="B42">
        <v>1</v>
      </c>
      <c r="C42">
        <v>4</v>
      </c>
      <c r="D42">
        <v>9</v>
      </c>
      <c r="E42" t="s">
        <v>366</v>
      </c>
      <c r="F42" t="s">
        <v>363</v>
      </c>
      <c r="G42" t="s">
        <v>364</v>
      </c>
      <c r="H42" t="str">
        <f>Table2[[#This Row],[item]] &amp; "-" &amp; Table2[[#This Row],[plausibility]] &amp; "-" &amp; Table2[[#This Row],[task]] &amp; "-" &amp; Table2[[#This Row],[n12]]</f>
        <v>9-implausible-nosecondary-n21</v>
      </c>
    </row>
    <row r="43" spans="1:8" x14ac:dyDescent="0.2">
      <c r="A43">
        <v>2</v>
      </c>
      <c r="B43">
        <v>1</v>
      </c>
      <c r="C43">
        <v>4</v>
      </c>
      <c r="D43">
        <v>12</v>
      </c>
      <c r="E43" t="s">
        <v>366</v>
      </c>
      <c r="F43" t="s">
        <v>363</v>
      </c>
      <c r="G43" t="s">
        <v>360</v>
      </c>
      <c r="H43" t="str">
        <f>Table2[[#This Row],[item]] &amp; "-" &amp; Table2[[#This Row],[plausibility]] &amp; "-" &amp; Table2[[#This Row],[task]] &amp; "-" &amp; Table2[[#This Row],[n12]]</f>
        <v>12-implausible-nosecondary-n12</v>
      </c>
    </row>
    <row r="44" spans="1:8" x14ac:dyDescent="0.2">
      <c r="A44">
        <v>1</v>
      </c>
      <c r="B44">
        <v>1</v>
      </c>
      <c r="C44">
        <v>4</v>
      </c>
      <c r="D44">
        <v>14</v>
      </c>
      <c r="E44" t="s">
        <v>359</v>
      </c>
      <c r="F44" t="s">
        <v>363</v>
      </c>
      <c r="G44" t="s">
        <v>364</v>
      </c>
      <c r="H44" t="str">
        <f>Table2[[#This Row],[item]] &amp; "-" &amp; Table2[[#This Row],[plausibility]] &amp; "-" &amp; Table2[[#This Row],[task]] &amp; "-" &amp; Table2[[#This Row],[n12]]</f>
        <v>14-plausible-nosecondary-n21</v>
      </c>
    </row>
    <row r="45" spans="1:8" x14ac:dyDescent="0.2">
      <c r="A45">
        <v>1</v>
      </c>
      <c r="B45">
        <v>1</v>
      </c>
      <c r="C45">
        <v>4</v>
      </c>
      <c r="D45">
        <v>16</v>
      </c>
      <c r="E45" t="s">
        <v>359</v>
      </c>
      <c r="F45" t="s">
        <v>362</v>
      </c>
      <c r="G45" t="s">
        <v>364</v>
      </c>
      <c r="H45" t="str">
        <f>Table2[[#This Row],[item]] &amp; "-" &amp; Table2[[#This Row],[plausibility]] &amp; "-" &amp; Table2[[#This Row],[task]] &amp; "-" &amp; Table2[[#This Row],[n12]]</f>
        <v>16-plausible-articulation-n21</v>
      </c>
    </row>
    <row r="46" spans="1:8" x14ac:dyDescent="0.2">
      <c r="A46">
        <v>6</v>
      </c>
      <c r="B46">
        <v>1</v>
      </c>
      <c r="C46">
        <v>4</v>
      </c>
      <c r="D46">
        <v>18</v>
      </c>
      <c r="E46" t="s">
        <v>366</v>
      </c>
      <c r="F46" t="s">
        <v>362</v>
      </c>
      <c r="G46" t="s">
        <v>360</v>
      </c>
      <c r="H46" t="str">
        <f>Table2[[#This Row],[item]] &amp; "-" &amp; Table2[[#This Row],[plausibility]] &amp; "-" &amp; Table2[[#This Row],[task]] &amp; "-" &amp; Table2[[#This Row],[n12]]</f>
        <v>18-implausible-articulation-n12</v>
      </c>
    </row>
    <row r="47" spans="1:8" x14ac:dyDescent="0.2">
      <c r="A47">
        <v>2</v>
      </c>
      <c r="B47">
        <v>1</v>
      </c>
      <c r="C47">
        <v>4</v>
      </c>
      <c r="D47">
        <v>20</v>
      </c>
      <c r="E47" t="s">
        <v>366</v>
      </c>
      <c r="F47" t="s">
        <v>363</v>
      </c>
      <c r="G47" t="s">
        <v>360</v>
      </c>
      <c r="H47" t="str">
        <f>Table2[[#This Row],[item]] &amp; "-" &amp; Table2[[#This Row],[plausibility]] &amp; "-" &amp; Table2[[#This Row],[task]] &amp; "-" &amp; Table2[[#This Row],[n12]]</f>
        <v>20-implausible-nosecondary-n12</v>
      </c>
    </row>
    <row r="48" spans="1:8" x14ac:dyDescent="0.2">
      <c r="A48">
        <v>1</v>
      </c>
      <c r="B48">
        <v>1</v>
      </c>
      <c r="C48">
        <v>4</v>
      </c>
      <c r="D48">
        <v>22</v>
      </c>
      <c r="E48" t="s">
        <v>359</v>
      </c>
      <c r="F48" t="s">
        <v>363</v>
      </c>
      <c r="G48" t="s">
        <v>364</v>
      </c>
      <c r="H48" t="str">
        <f>Table2[[#This Row],[item]] &amp; "-" &amp; Table2[[#This Row],[plausibility]] &amp; "-" &amp; Table2[[#This Row],[task]] &amp; "-" &amp; Table2[[#This Row],[n12]]</f>
        <v>22-plausible-nosecondary-n21</v>
      </c>
    </row>
    <row r="49" spans="1:8" s="7" customFormat="1" ht="17" thickBot="1" x14ac:dyDescent="0.25">
      <c r="A49" s="7">
        <v>1</v>
      </c>
      <c r="B49" s="7">
        <v>1</v>
      </c>
      <c r="C49" s="7">
        <v>4</v>
      </c>
      <c r="D49" s="7">
        <v>24</v>
      </c>
      <c r="E49" s="7" t="s">
        <v>359</v>
      </c>
      <c r="F49" s="7" t="s">
        <v>362</v>
      </c>
      <c r="G49" s="7" t="s">
        <v>364</v>
      </c>
      <c r="H49" s="7" t="str">
        <f>Table2[[#This Row],[item]] &amp; "-" &amp; Table2[[#This Row],[plausibility]] &amp; "-" &amp; Table2[[#This Row],[task]] &amp; "-" &amp; Table2[[#This Row],[n12]]</f>
        <v>24-plausible-articulation-n21</v>
      </c>
    </row>
    <row r="50" spans="1:8" ht="17" thickTop="1" x14ac:dyDescent="0.2">
      <c r="A50">
        <v>2</v>
      </c>
      <c r="B50">
        <v>2</v>
      </c>
      <c r="C50">
        <v>1</v>
      </c>
      <c r="D50">
        <v>1</v>
      </c>
      <c r="E50" t="s">
        <v>359</v>
      </c>
      <c r="F50" t="s">
        <v>362</v>
      </c>
      <c r="G50" t="s">
        <v>364</v>
      </c>
      <c r="H50" t="str">
        <f>Table2[[#This Row],[item]] &amp; "-" &amp; Table2[[#This Row],[plausibility]] &amp; "-" &amp; Table2[[#This Row],[task]] &amp; "-" &amp; Table2[[#This Row],[n12]]</f>
        <v>1-plausible-articulation-n21</v>
      </c>
    </row>
    <row r="51" spans="1:8" x14ac:dyDescent="0.2">
      <c r="A51">
        <v>6</v>
      </c>
      <c r="B51">
        <v>2</v>
      </c>
      <c r="C51">
        <v>1</v>
      </c>
      <c r="D51">
        <v>4</v>
      </c>
      <c r="E51" t="s">
        <v>359</v>
      </c>
      <c r="F51" t="s">
        <v>363</v>
      </c>
      <c r="G51" t="s">
        <v>360</v>
      </c>
      <c r="H51" t="str">
        <f>Table2[[#This Row],[item]] &amp; "-" &amp; Table2[[#This Row],[plausibility]] &amp; "-" &amp; Table2[[#This Row],[task]] &amp; "-" &amp; Table2[[#This Row],[n12]]</f>
        <v>4-plausible-nosecondary-n12</v>
      </c>
    </row>
    <row r="52" spans="1:8" x14ac:dyDescent="0.2">
      <c r="A52">
        <v>5</v>
      </c>
      <c r="B52">
        <v>2</v>
      </c>
      <c r="C52">
        <v>1</v>
      </c>
      <c r="D52">
        <v>6</v>
      </c>
      <c r="E52" t="s">
        <v>366</v>
      </c>
      <c r="F52" t="s">
        <v>363</v>
      </c>
      <c r="G52" t="s">
        <v>364</v>
      </c>
      <c r="H52" t="str">
        <f>Table2[[#This Row],[item]] &amp; "-" &amp; Table2[[#This Row],[plausibility]] &amp; "-" &amp; Table2[[#This Row],[task]] &amp; "-" &amp; Table2[[#This Row],[n12]]</f>
        <v>6-implausible-nosecondary-n21</v>
      </c>
    </row>
    <row r="53" spans="1:8" x14ac:dyDescent="0.2">
      <c r="A53">
        <v>5</v>
      </c>
      <c r="B53">
        <v>2</v>
      </c>
      <c r="C53">
        <v>1</v>
      </c>
      <c r="D53">
        <v>8</v>
      </c>
      <c r="E53" t="s">
        <v>366</v>
      </c>
      <c r="F53" t="s">
        <v>362</v>
      </c>
      <c r="G53" t="s">
        <v>364</v>
      </c>
      <c r="H53" t="str">
        <f>Table2[[#This Row],[item]] &amp; "-" &amp; Table2[[#This Row],[plausibility]] &amp; "-" &amp; Table2[[#This Row],[task]] &amp; "-" &amp; Table2[[#This Row],[n12]]</f>
        <v>8-implausible-articulation-n21</v>
      </c>
    </row>
    <row r="54" spans="1:8" x14ac:dyDescent="0.2">
      <c r="A54">
        <v>2</v>
      </c>
      <c r="B54">
        <v>2</v>
      </c>
      <c r="C54">
        <v>1</v>
      </c>
      <c r="D54">
        <v>10</v>
      </c>
      <c r="E54" t="s">
        <v>359</v>
      </c>
      <c r="F54" t="s">
        <v>362</v>
      </c>
      <c r="G54" t="s">
        <v>360</v>
      </c>
      <c r="H54" t="str">
        <f>Table2[[#This Row],[item]] &amp; "-" &amp; Table2[[#This Row],[plausibility]] &amp; "-" &amp; Table2[[#This Row],[task]] &amp; "-" &amp; Table2[[#This Row],[n12]]</f>
        <v>10-plausible-articulation-n12</v>
      </c>
    </row>
    <row r="55" spans="1:8" x14ac:dyDescent="0.2">
      <c r="A55">
        <v>6</v>
      </c>
      <c r="B55">
        <v>2</v>
      </c>
      <c r="C55">
        <v>1</v>
      </c>
      <c r="D55">
        <v>11</v>
      </c>
      <c r="E55" t="s">
        <v>359</v>
      </c>
      <c r="F55" t="s">
        <v>363</v>
      </c>
      <c r="G55" t="s">
        <v>364</v>
      </c>
      <c r="H55" t="str">
        <f>Table2[[#This Row],[item]] &amp; "-" &amp; Table2[[#This Row],[plausibility]] &amp; "-" &amp; Table2[[#This Row],[task]] &amp; "-" &amp; Table2[[#This Row],[n12]]</f>
        <v>11-plausible-nosecondary-n21</v>
      </c>
    </row>
    <row r="56" spans="1:8" x14ac:dyDescent="0.2">
      <c r="A56">
        <v>3</v>
      </c>
      <c r="B56">
        <v>2</v>
      </c>
      <c r="C56">
        <v>1</v>
      </c>
      <c r="D56">
        <v>13</v>
      </c>
      <c r="E56" t="s">
        <v>366</v>
      </c>
      <c r="F56" t="s">
        <v>363</v>
      </c>
      <c r="G56" t="s">
        <v>360</v>
      </c>
      <c r="H56" t="str">
        <f>Table2[[#This Row],[item]] &amp; "-" &amp; Table2[[#This Row],[plausibility]] &amp; "-" &amp; Table2[[#This Row],[task]] &amp; "-" &amp; Table2[[#This Row],[n12]]</f>
        <v>13-implausible-nosecondary-n12</v>
      </c>
    </row>
    <row r="57" spans="1:8" x14ac:dyDescent="0.2">
      <c r="A57">
        <v>3</v>
      </c>
      <c r="B57">
        <v>2</v>
      </c>
      <c r="C57">
        <v>1</v>
      </c>
      <c r="D57">
        <v>15</v>
      </c>
      <c r="E57" t="s">
        <v>366</v>
      </c>
      <c r="F57" t="s">
        <v>362</v>
      </c>
      <c r="G57" t="s">
        <v>360</v>
      </c>
      <c r="H57" t="str">
        <f>Table2[[#This Row],[item]] &amp; "-" &amp; Table2[[#This Row],[plausibility]] &amp; "-" &amp; Table2[[#This Row],[task]] &amp; "-" &amp; Table2[[#This Row],[n12]]</f>
        <v>15-implausible-articulation-n12</v>
      </c>
    </row>
    <row r="58" spans="1:8" x14ac:dyDescent="0.2">
      <c r="A58">
        <v>2</v>
      </c>
      <c r="B58">
        <v>2</v>
      </c>
      <c r="C58">
        <v>1</v>
      </c>
      <c r="D58">
        <v>17</v>
      </c>
      <c r="E58" t="s">
        <v>359</v>
      </c>
      <c r="F58" t="s">
        <v>362</v>
      </c>
      <c r="G58" t="s">
        <v>364</v>
      </c>
      <c r="H58" t="str">
        <f>Table2[[#This Row],[item]] &amp; "-" &amp; Table2[[#This Row],[plausibility]] &amp; "-" &amp; Table2[[#This Row],[task]] &amp; "-" &amp; Table2[[#This Row],[n12]]</f>
        <v>17-plausible-articulation-n21</v>
      </c>
    </row>
    <row r="59" spans="1:8" x14ac:dyDescent="0.2">
      <c r="A59">
        <v>6</v>
      </c>
      <c r="B59">
        <v>2</v>
      </c>
      <c r="C59">
        <v>1</v>
      </c>
      <c r="D59">
        <v>19</v>
      </c>
      <c r="E59" t="s">
        <v>359</v>
      </c>
      <c r="F59" t="s">
        <v>363</v>
      </c>
      <c r="G59" t="s">
        <v>364</v>
      </c>
      <c r="H59" t="str">
        <f>Table2[[#This Row],[item]] &amp; "-" &amp; Table2[[#This Row],[plausibility]] &amp; "-" &amp; Table2[[#This Row],[task]] &amp; "-" &amp; Table2[[#This Row],[n12]]</f>
        <v>19-plausible-nosecondary-n21</v>
      </c>
    </row>
    <row r="60" spans="1:8" x14ac:dyDescent="0.2">
      <c r="A60">
        <v>3</v>
      </c>
      <c r="B60">
        <v>2</v>
      </c>
      <c r="C60">
        <v>1</v>
      </c>
      <c r="D60">
        <v>21</v>
      </c>
      <c r="E60" t="s">
        <v>366</v>
      </c>
      <c r="F60" t="s">
        <v>363</v>
      </c>
      <c r="G60" t="s">
        <v>360</v>
      </c>
      <c r="H60" t="str">
        <f>Table2[[#This Row],[item]] &amp; "-" &amp; Table2[[#This Row],[plausibility]] &amp; "-" &amp; Table2[[#This Row],[task]] &amp; "-" &amp; Table2[[#This Row],[n12]]</f>
        <v>21-implausible-nosecondary-n12</v>
      </c>
    </row>
    <row r="61" spans="1:8" s="6" customFormat="1" x14ac:dyDescent="0.2">
      <c r="A61" s="6">
        <v>3</v>
      </c>
      <c r="B61" s="6">
        <v>2</v>
      </c>
      <c r="C61" s="6">
        <v>1</v>
      </c>
      <c r="D61" s="6">
        <v>23</v>
      </c>
      <c r="E61" s="6" t="s">
        <v>366</v>
      </c>
      <c r="F61" s="6" t="s">
        <v>362</v>
      </c>
      <c r="G61" s="6" t="s">
        <v>360</v>
      </c>
      <c r="H61" s="6" t="str">
        <f>Table2[[#This Row],[item]] &amp; "-" &amp; Table2[[#This Row],[plausibility]] &amp; "-" &amp; Table2[[#This Row],[task]] &amp; "-" &amp; Table2[[#This Row],[n12]]</f>
        <v>23-implausible-articulation-n12</v>
      </c>
    </row>
    <row r="62" spans="1:8" x14ac:dyDescent="0.2">
      <c r="A62">
        <v>2</v>
      </c>
      <c r="B62">
        <v>2</v>
      </c>
      <c r="C62">
        <v>2</v>
      </c>
      <c r="D62">
        <v>2</v>
      </c>
      <c r="E62" t="s">
        <v>359</v>
      </c>
      <c r="F62" t="s">
        <v>362</v>
      </c>
      <c r="G62" t="s">
        <v>360</v>
      </c>
      <c r="H62" t="str">
        <f>Table2[[#This Row],[item]] &amp; "-" &amp; Table2[[#This Row],[plausibility]] &amp; "-" &amp; Table2[[#This Row],[task]] &amp; "-" &amp; Table2[[#This Row],[n12]]</f>
        <v>2-plausible-articulation-n12</v>
      </c>
    </row>
    <row r="63" spans="1:8" x14ac:dyDescent="0.2">
      <c r="A63">
        <v>6</v>
      </c>
      <c r="B63">
        <v>2</v>
      </c>
      <c r="C63">
        <v>2</v>
      </c>
      <c r="D63">
        <v>3</v>
      </c>
      <c r="E63" t="s">
        <v>359</v>
      </c>
      <c r="F63" t="s">
        <v>363</v>
      </c>
      <c r="G63" t="s">
        <v>364</v>
      </c>
      <c r="H63" t="str">
        <f>Table2[[#This Row],[item]] &amp; "-" &amp; Table2[[#This Row],[plausibility]] &amp; "-" &amp; Table2[[#This Row],[task]] &amp; "-" &amp; Table2[[#This Row],[n12]]</f>
        <v>3-plausible-nosecondary-n21</v>
      </c>
    </row>
    <row r="64" spans="1:8" x14ac:dyDescent="0.2">
      <c r="A64">
        <v>3</v>
      </c>
      <c r="B64">
        <v>2</v>
      </c>
      <c r="C64">
        <v>2</v>
      </c>
      <c r="D64">
        <v>5</v>
      </c>
      <c r="E64" t="s">
        <v>366</v>
      </c>
      <c r="F64" t="s">
        <v>363</v>
      </c>
      <c r="G64" t="s">
        <v>360</v>
      </c>
      <c r="H64" t="str">
        <f>Table2[[#This Row],[item]] &amp; "-" &amp; Table2[[#This Row],[plausibility]] &amp; "-" &amp; Table2[[#This Row],[task]] &amp; "-" &amp; Table2[[#This Row],[n12]]</f>
        <v>5-implausible-nosecondary-n12</v>
      </c>
    </row>
    <row r="65" spans="1:8" x14ac:dyDescent="0.2">
      <c r="A65">
        <v>3</v>
      </c>
      <c r="B65">
        <v>2</v>
      </c>
      <c r="C65">
        <v>2</v>
      </c>
      <c r="D65">
        <v>7</v>
      </c>
      <c r="E65" t="s">
        <v>366</v>
      </c>
      <c r="F65" t="s">
        <v>362</v>
      </c>
      <c r="G65" t="s">
        <v>360</v>
      </c>
      <c r="H65" t="str">
        <f>Table2[[#This Row],[item]] &amp; "-" &amp; Table2[[#This Row],[plausibility]] &amp; "-" &amp; Table2[[#This Row],[task]] &amp; "-" &amp; Table2[[#This Row],[n12]]</f>
        <v>7-implausible-articulation-n12</v>
      </c>
    </row>
    <row r="66" spans="1:8" x14ac:dyDescent="0.2">
      <c r="A66">
        <v>2</v>
      </c>
      <c r="B66">
        <v>2</v>
      </c>
      <c r="C66">
        <v>2</v>
      </c>
      <c r="D66">
        <v>9</v>
      </c>
      <c r="E66" t="s">
        <v>799</v>
      </c>
      <c r="F66" t="s">
        <v>786</v>
      </c>
      <c r="G66" t="s">
        <v>364</v>
      </c>
      <c r="H66" t="str">
        <f>Table2[[#This Row],[item]] &amp; "-" &amp; Table2[[#This Row],[plausibility]] &amp; "-" &amp; Table2[[#This Row],[task]] &amp; "-" &amp; Table2[[#This Row],[n12]]</f>
        <v>9-plausible-articulation-n21</v>
      </c>
    </row>
    <row r="67" spans="1:8" x14ac:dyDescent="0.2">
      <c r="A67">
        <v>6</v>
      </c>
      <c r="B67">
        <v>2</v>
      </c>
      <c r="C67">
        <v>2</v>
      </c>
      <c r="D67">
        <v>12</v>
      </c>
      <c r="E67" t="s">
        <v>359</v>
      </c>
      <c r="F67" t="s">
        <v>363</v>
      </c>
      <c r="G67" t="s">
        <v>360</v>
      </c>
      <c r="H67" t="str">
        <f>Table2[[#This Row],[item]] &amp; "-" &amp; Table2[[#This Row],[plausibility]] &amp; "-" &amp; Table2[[#This Row],[task]] &amp; "-" &amp; Table2[[#This Row],[n12]]</f>
        <v>12-plausible-nosecondary-n12</v>
      </c>
    </row>
    <row r="68" spans="1:8" x14ac:dyDescent="0.2">
      <c r="A68">
        <v>5</v>
      </c>
      <c r="B68">
        <v>2</v>
      </c>
      <c r="C68">
        <v>2</v>
      </c>
      <c r="D68">
        <v>14</v>
      </c>
      <c r="E68" t="s">
        <v>366</v>
      </c>
      <c r="F68" t="s">
        <v>363</v>
      </c>
      <c r="G68" t="s">
        <v>364</v>
      </c>
      <c r="H68" t="str">
        <f>Table2[[#This Row],[item]] &amp; "-" &amp; Table2[[#This Row],[plausibility]] &amp; "-" &amp; Table2[[#This Row],[task]] &amp; "-" &amp; Table2[[#This Row],[n12]]</f>
        <v>14-implausible-nosecondary-n21</v>
      </c>
    </row>
    <row r="69" spans="1:8" x14ac:dyDescent="0.2">
      <c r="A69">
        <v>5</v>
      </c>
      <c r="B69">
        <v>2</v>
      </c>
      <c r="C69">
        <v>2</v>
      </c>
      <c r="D69">
        <v>16</v>
      </c>
      <c r="E69" t="s">
        <v>366</v>
      </c>
      <c r="F69" t="s">
        <v>362</v>
      </c>
      <c r="G69" t="s">
        <v>364</v>
      </c>
      <c r="H69" t="str">
        <f>Table2[[#This Row],[item]] &amp; "-" &amp; Table2[[#This Row],[plausibility]] &amp; "-" &amp; Table2[[#This Row],[task]] &amp; "-" &amp; Table2[[#This Row],[n12]]</f>
        <v>16-implausible-articulation-n21</v>
      </c>
    </row>
    <row r="70" spans="1:8" x14ac:dyDescent="0.2">
      <c r="A70">
        <v>2</v>
      </c>
      <c r="B70">
        <v>2</v>
      </c>
      <c r="C70">
        <v>2</v>
      </c>
      <c r="D70">
        <v>18</v>
      </c>
      <c r="E70" t="s">
        <v>359</v>
      </c>
      <c r="F70" t="s">
        <v>362</v>
      </c>
      <c r="G70" t="s">
        <v>360</v>
      </c>
      <c r="H70" t="str">
        <f>Table2[[#This Row],[item]] &amp; "-" &amp; Table2[[#This Row],[plausibility]] &amp; "-" &amp; Table2[[#This Row],[task]] &amp; "-" &amp; Table2[[#This Row],[n12]]</f>
        <v>18-plausible-articulation-n12</v>
      </c>
    </row>
    <row r="71" spans="1:8" x14ac:dyDescent="0.2">
      <c r="A71">
        <v>6</v>
      </c>
      <c r="B71">
        <v>2</v>
      </c>
      <c r="C71">
        <v>2</v>
      </c>
      <c r="D71">
        <v>20</v>
      </c>
      <c r="E71" t="s">
        <v>359</v>
      </c>
      <c r="F71" t="s">
        <v>363</v>
      </c>
      <c r="G71" t="s">
        <v>360</v>
      </c>
      <c r="H71" t="str">
        <f>Table2[[#This Row],[item]] &amp; "-" &amp; Table2[[#This Row],[plausibility]] &amp; "-" &amp; Table2[[#This Row],[task]] &amp; "-" &amp; Table2[[#This Row],[n12]]</f>
        <v>20-plausible-nosecondary-n12</v>
      </c>
    </row>
    <row r="72" spans="1:8" x14ac:dyDescent="0.2">
      <c r="A72">
        <v>5</v>
      </c>
      <c r="B72">
        <v>2</v>
      </c>
      <c r="C72">
        <v>2</v>
      </c>
      <c r="D72">
        <v>22</v>
      </c>
      <c r="E72" t="s">
        <v>366</v>
      </c>
      <c r="F72" t="s">
        <v>363</v>
      </c>
      <c r="G72" t="s">
        <v>364</v>
      </c>
      <c r="H72" t="str">
        <f>Table2[[#This Row],[item]] &amp; "-" &amp; Table2[[#This Row],[plausibility]] &amp; "-" &amp; Table2[[#This Row],[task]] &amp; "-" &amp; Table2[[#This Row],[n12]]</f>
        <v>22-implausible-nosecondary-n21</v>
      </c>
    </row>
    <row r="73" spans="1:8" s="6" customFormat="1" x14ac:dyDescent="0.2">
      <c r="A73" s="6">
        <v>5</v>
      </c>
      <c r="B73" s="6">
        <v>2</v>
      </c>
      <c r="C73" s="6">
        <v>2</v>
      </c>
      <c r="D73" s="6">
        <v>24</v>
      </c>
      <c r="E73" s="6" t="s">
        <v>366</v>
      </c>
      <c r="F73" s="6" t="s">
        <v>362</v>
      </c>
      <c r="G73" s="6" t="s">
        <v>364</v>
      </c>
      <c r="H73" s="6" t="str">
        <f>Table2[[#This Row],[item]] &amp; "-" &amp; Table2[[#This Row],[plausibility]] &amp; "-" &amp; Table2[[#This Row],[task]] &amp; "-" &amp; Table2[[#This Row],[n12]]</f>
        <v>24-implausible-articulation-n21</v>
      </c>
    </row>
    <row r="74" spans="1:8" x14ac:dyDescent="0.2">
      <c r="A74">
        <v>7</v>
      </c>
      <c r="B74">
        <v>2</v>
      </c>
      <c r="C74">
        <v>3</v>
      </c>
      <c r="D74">
        <v>1</v>
      </c>
      <c r="E74" t="s">
        <v>366</v>
      </c>
      <c r="F74" t="s">
        <v>363</v>
      </c>
      <c r="G74" t="s">
        <v>360</v>
      </c>
      <c r="H74" t="str">
        <f>Table2[[#This Row],[item]] &amp; "-" &amp; Table2[[#This Row],[plausibility]] &amp; "-" &amp; Table2[[#This Row],[task]] &amp; "-" &amp; Table2[[#This Row],[n12]]</f>
        <v>1-implausible-nosecondary-n12</v>
      </c>
    </row>
    <row r="75" spans="1:8" x14ac:dyDescent="0.2">
      <c r="A75">
        <v>1</v>
      </c>
      <c r="B75">
        <v>2</v>
      </c>
      <c r="C75">
        <v>3</v>
      </c>
      <c r="D75">
        <v>4</v>
      </c>
      <c r="E75" t="s">
        <v>366</v>
      </c>
      <c r="F75" t="s">
        <v>362</v>
      </c>
      <c r="G75" t="s">
        <v>364</v>
      </c>
      <c r="H75" t="str">
        <f>Table2[[#This Row],[item]] &amp; "-" &amp; Table2[[#This Row],[plausibility]] &amp; "-" &amp; Table2[[#This Row],[task]] &amp; "-" &amp; Table2[[#This Row],[n12]]</f>
        <v>4-implausible-articulation-n21</v>
      </c>
    </row>
    <row r="76" spans="1:8" x14ac:dyDescent="0.2">
      <c r="A76">
        <v>6</v>
      </c>
      <c r="B76">
        <v>2</v>
      </c>
      <c r="C76">
        <v>3</v>
      </c>
      <c r="D76">
        <v>6</v>
      </c>
      <c r="E76" t="s">
        <v>359</v>
      </c>
      <c r="F76" t="s">
        <v>362</v>
      </c>
      <c r="G76" t="s">
        <v>360</v>
      </c>
      <c r="H76" t="str">
        <f>Table2[[#This Row],[item]] &amp; "-" &amp; Table2[[#This Row],[plausibility]] &amp; "-" &amp; Table2[[#This Row],[task]] &amp; "-" &amp; Table2[[#This Row],[n12]]</f>
        <v>6-plausible-articulation-n12</v>
      </c>
    </row>
    <row r="77" spans="1:8" x14ac:dyDescent="0.2">
      <c r="A77">
        <v>2</v>
      </c>
      <c r="B77">
        <v>2</v>
      </c>
      <c r="C77">
        <v>3</v>
      </c>
      <c r="D77">
        <v>8</v>
      </c>
      <c r="E77" t="s">
        <v>359</v>
      </c>
      <c r="F77" t="s">
        <v>363</v>
      </c>
      <c r="G77" t="s">
        <v>360</v>
      </c>
      <c r="H77" t="str">
        <f>Table2[[#This Row],[item]] &amp; "-" &amp; Table2[[#This Row],[plausibility]] &amp; "-" &amp; Table2[[#This Row],[task]] &amp; "-" &amp; Table2[[#This Row],[n12]]</f>
        <v>8-plausible-nosecondary-n12</v>
      </c>
    </row>
    <row r="78" spans="1:8" x14ac:dyDescent="0.2">
      <c r="A78">
        <v>1</v>
      </c>
      <c r="B78">
        <v>2</v>
      </c>
      <c r="C78">
        <v>3</v>
      </c>
      <c r="D78">
        <v>10</v>
      </c>
      <c r="E78" t="s">
        <v>366</v>
      </c>
      <c r="F78" t="s">
        <v>363</v>
      </c>
      <c r="G78" t="s">
        <v>364</v>
      </c>
      <c r="H78" t="str">
        <f>Table2[[#This Row],[item]] &amp; "-" &amp; Table2[[#This Row],[plausibility]] &amp; "-" &amp; Table2[[#This Row],[task]] &amp; "-" &amp; Table2[[#This Row],[n12]]</f>
        <v>10-implausible-nosecondary-n21</v>
      </c>
    </row>
    <row r="79" spans="1:8" x14ac:dyDescent="0.2">
      <c r="A79">
        <v>7</v>
      </c>
      <c r="B79">
        <v>2</v>
      </c>
      <c r="C79">
        <v>3</v>
      </c>
      <c r="D79">
        <v>11</v>
      </c>
      <c r="E79" t="s">
        <v>366</v>
      </c>
      <c r="F79" t="s">
        <v>362</v>
      </c>
      <c r="G79" t="s">
        <v>360</v>
      </c>
      <c r="H79" t="str">
        <f>Table2[[#This Row],[item]] &amp; "-" &amp; Table2[[#This Row],[plausibility]] &amp; "-" &amp; Table2[[#This Row],[task]] &amp; "-" &amp; Table2[[#This Row],[n12]]</f>
        <v>11-implausible-articulation-n12</v>
      </c>
    </row>
    <row r="80" spans="1:8" x14ac:dyDescent="0.2">
      <c r="A80">
        <v>6</v>
      </c>
      <c r="B80">
        <v>2</v>
      </c>
      <c r="C80">
        <v>3</v>
      </c>
      <c r="D80">
        <v>13</v>
      </c>
      <c r="E80" t="s">
        <v>359</v>
      </c>
      <c r="F80" t="s">
        <v>362</v>
      </c>
      <c r="G80" t="s">
        <v>364</v>
      </c>
      <c r="H80" t="str">
        <f>Table2[[#This Row],[item]] &amp; "-" &amp; Table2[[#This Row],[plausibility]] &amp; "-" &amp; Table2[[#This Row],[task]] &amp; "-" &amp; Table2[[#This Row],[n12]]</f>
        <v>13-plausible-articulation-n21</v>
      </c>
    </row>
    <row r="81" spans="1:8" x14ac:dyDescent="0.2">
      <c r="A81">
        <v>2</v>
      </c>
      <c r="B81">
        <v>2</v>
      </c>
      <c r="C81">
        <v>3</v>
      </c>
      <c r="D81">
        <v>15</v>
      </c>
      <c r="E81" t="s">
        <v>359</v>
      </c>
      <c r="F81" t="s">
        <v>363</v>
      </c>
      <c r="G81" t="s">
        <v>364</v>
      </c>
      <c r="H81" t="str">
        <f>Table2[[#This Row],[item]] &amp; "-" &amp; Table2[[#This Row],[plausibility]] &amp; "-" &amp; Table2[[#This Row],[task]] &amp; "-" &amp; Table2[[#This Row],[n12]]</f>
        <v>15-plausible-nosecondary-n21</v>
      </c>
    </row>
    <row r="82" spans="1:8" x14ac:dyDescent="0.2">
      <c r="A82">
        <v>7</v>
      </c>
      <c r="B82">
        <v>2</v>
      </c>
      <c r="C82">
        <v>3</v>
      </c>
      <c r="D82">
        <v>17</v>
      </c>
      <c r="E82" t="s">
        <v>366</v>
      </c>
      <c r="F82" t="s">
        <v>363</v>
      </c>
      <c r="G82" t="s">
        <v>360</v>
      </c>
      <c r="H82" t="str">
        <f>Table2[[#This Row],[item]] &amp; "-" &amp; Table2[[#This Row],[plausibility]] &amp; "-" &amp; Table2[[#This Row],[task]] &amp; "-" &amp; Table2[[#This Row],[n12]]</f>
        <v>17-implausible-nosecondary-n12</v>
      </c>
    </row>
    <row r="83" spans="1:8" x14ac:dyDescent="0.2">
      <c r="A83">
        <v>7</v>
      </c>
      <c r="B83">
        <v>2</v>
      </c>
      <c r="C83">
        <v>3</v>
      </c>
      <c r="D83">
        <v>19</v>
      </c>
      <c r="E83" t="s">
        <v>366</v>
      </c>
      <c r="F83" t="s">
        <v>362</v>
      </c>
      <c r="G83" t="s">
        <v>360</v>
      </c>
      <c r="H83" t="str">
        <f>Table2[[#This Row],[item]] &amp; "-" &amp; Table2[[#This Row],[plausibility]] &amp; "-" &amp; Table2[[#This Row],[task]] &amp; "-" &amp; Table2[[#This Row],[n12]]</f>
        <v>19-implausible-articulation-n12</v>
      </c>
    </row>
    <row r="84" spans="1:8" x14ac:dyDescent="0.2">
      <c r="A84">
        <v>6</v>
      </c>
      <c r="B84">
        <v>2</v>
      </c>
      <c r="C84">
        <v>3</v>
      </c>
      <c r="D84">
        <v>21</v>
      </c>
      <c r="E84" t="s">
        <v>359</v>
      </c>
      <c r="F84" t="s">
        <v>362</v>
      </c>
      <c r="G84" t="s">
        <v>364</v>
      </c>
      <c r="H84" t="str">
        <f>Table2[[#This Row],[item]] &amp; "-" &amp; Table2[[#This Row],[plausibility]] &amp; "-" &amp; Table2[[#This Row],[task]] &amp; "-" &amp; Table2[[#This Row],[n12]]</f>
        <v>21-plausible-articulation-n21</v>
      </c>
    </row>
    <row r="85" spans="1:8" s="6" customFormat="1" x14ac:dyDescent="0.2">
      <c r="A85" s="6">
        <v>2</v>
      </c>
      <c r="B85" s="6">
        <v>2</v>
      </c>
      <c r="C85" s="6">
        <v>3</v>
      </c>
      <c r="D85" s="6">
        <v>23</v>
      </c>
      <c r="E85" s="6" t="s">
        <v>359</v>
      </c>
      <c r="F85" s="6" t="s">
        <v>363</v>
      </c>
      <c r="G85" s="6" t="s">
        <v>364</v>
      </c>
      <c r="H85" s="6" t="str">
        <f>Table2[[#This Row],[item]] &amp; "-" &amp; Table2[[#This Row],[plausibility]] &amp; "-" &amp; Table2[[#This Row],[task]] &amp; "-" &amp; Table2[[#This Row],[n12]]</f>
        <v>23-plausible-nosecondary-n21</v>
      </c>
    </row>
    <row r="86" spans="1:8" x14ac:dyDescent="0.2">
      <c r="A86">
        <v>1</v>
      </c>
      <c r="B86">
        <v>2</v>
      </c>
      <c r="C86">
        <v>4</v>
      </c>
      <c r="D86">
        <v>2</v>
      </c>
      <c r="E86" t="s">
        <v>366</v>
      </c>
      <c r="F86" t="s">
        <v>363</v>
      </c>
      <c r="G86" t="s">
        <v>364</v>
      </c>
      <c r="H86" t="str">
        <f>Table2[[#This Row],[item]] &amp; "-" &amp; Table2[[#This Row],[plausibility]] &amp; "-" &amp; Table2[[#This Row],[task]] &amp; "-" &amp; Table2[[#This Row],[n12]]</f>
        <v>2-implausible-nosecondary-n21</v>
      </c>
    </row>
    <row r="87" spans="1:8" x14ac:dyDescent="0.2">
      <c r="A87">
        <v>7</v>
      </c>
      <c r="B87">
        <v>2</v>
      </c>
      <c r="C87">
        <v>4</v>
      </c>
      <c r="D87">
        <v>3</v>
      </c>
      <c r="E87" t="s">
        <v>366</v>
      </c>
      <c r="F87" t="s">
        <v>362</v>
      </c>
      <c r="G87" t="s">
        <v>360</v>
      </c>
      <c r="H87" t="str">
        <f>Table2[[#This Row],[item]] &amp; "-" &amp; Table2[[#This Row],[plausibility]] &amp; "-" &amp; Table2[[#This Row],[task]] &amp; "-" &amp; Table2[[#This Row],[n12]]</f>
        <v>3-implausible-articulation-n12</v>
      </c>
    </row>
    <row r="88" spans="1:8" x14ac:dyDescent="0.2">
      <c r="A88">
        <v>6</v>
      </c>
      <c r="B88">
        <v>2</v>
      </c>
      <c r="C88">
        <v>4</v>
      </c>
      <c r="D88">
        <v>5</v>
      </c>
      <c r="E88" t="s">
        <v>359</v>
      </c>
      <c r="F88" t="s">
        <v>362</v>
      </c>
      <c r="G88" t="s">
        <v>364</v>
      </c>
      <c r="H88" t="str">
        <f>Table2[[#This Row],[item]] &amp; "-" &amp; Table2[[#This Row],[plausibility]] &amp; "-" &amp; Table2[[#This Row],[task]] &amp; "-" &amp; Table2[[#This Row],[n12]]</f>
        <v>5-plausible-articulation-n21</v>
      </c>
    </row>
    <row r="89" spans="1:8" x14ac:dyDescent="0.2">
      <c r="A89">
        <v>2</v>
      </c>
      <c r="B89">
        <v>2</v>
      </c>
      <c r="C89">
        <v>4</v>
      </c>
      <c r="D89">
        <v>7</v>
      </c>
      <c r="E89" t="s">
        <v>359</v>
      </c>
      <c r="F89" t="s">
        <v>363</v>
      </c>
      <c r="G89" t="s">
        <v>364</v>
      </c>
      <c r="H89" t="str">
        <f>Table2[[#This Row],[item]] &amp; "-" &amp; Table2[[#This Row],[plausibility]] &amp; "-" &amp; Table2[[#This Row],[task]] &amp; "-" &amp; Table2[[#This Row],[n12]]</f>
        <v>7-plausible-nosecondary-n21</v>
      </c>
    </row>
    <row r="90" spans="1:8" x14ac:dyDescent="0.2">
      <c r="A90">
        <v>7</v>
      </c>
      <c r="B90">
        <v>2</v>
      </c>
      <c r="C90">
        <v>4</v>
      </c>
      <c r="D90">
        <v>9</v>
      </c>
      <c r="E90" t="s">
        <v>366</v>
      </c>
      <c r="F90" t="s">
        <v>363</v>
      </c>
      <c r="G90" t="s">
        <v>360</v>
      </c>
      <c r="H90" t="str">
        <f>Table2[[#This Row],[item]] &amp; "-" &amp; Table2[[#This Row],[plausibility]] &amp; "-" &amp; Table2[[#This Row],[task]] &amp; "-" &amp; Table2[[#This Row],[n12]]</f>
        <v>9-implausible-nosecondary-n12</v>
      </c>
    </row>
    <row r="91" spans="1:8" x14ac:dyDescent="0.2">
      <c r="A91">
        <v>1</v>
      </c>
      <c r="B91">
        <v>2</v>
      </c>
      <c r="C91">
        <v>4</v>
      </c>
      <c r="D91">
        <v>12</v>
      </c>
      <c r="E91" t="s">
        <v>366</v>
      </c>
      <c r="F91" t="s">
        <v>362</v>
      </c>
      <c r="G91" t="s">
        <v>364</v>
      </c>
      <c r="H91" t="str">
        <f>Table2[[#This Row],[item]] &amp; "-" &amp; Table2[[#This Row],[plausibility]] &amp; "-" &amp; Table2[[#This Row],[task]] &amp; "-" &amp; Table2[[#This Row],[n12]]</f>
        <v>12-implausible-articulation-n21</v>
      </c>
    </row>
    <row r="92" spans="1:8" x14ac:dyDescent="0.2">
      <c r="A92">
        <v>6</v>
      </c>
      <c r="B92">
        <v>2</v>
      </c>
      <c r="C92">
        <v>4</v>
      </c>
      <c r="D92">
        <v>14</v>
      </c>
      <c r="E92" t="s">
        <v>359</v>
      </c>
      <c r="F92" t="s">
        <v>362</v>
      </c>
      <c r="G92" t="s">
        <v>360</v>
      </c>
      <c r="H92" t="str">
        <f>Table2[[#This Row],[item]] &amp; "-" &amp; Table2[[#This Row],[plausibility]] &amp; "-" &amp; Table2[[#This Row],[task]] &amp; "-" &amp; Table2[[#This Row],[n12]]</f>
        <v>14-plausible-articulation-n12</v>
      </c>
    </row>
    <row r="93" spans="1:8" x14ac:dyDescent="0.2">
      <c r="A93">
        <v>2</v>
      </c>
      <c r="B93">
        <v>2</v>
      </c>
      <c r="C93">
        <v>4</v>
      </c>
      <c r="D93">
        <v>16</v>
      </c>
      <c r="E93" t="s">
        <v>359</v>
      </c>
      <c r="F93" t="s">
        <v>363</v>
      </c>
      <c r="G93" t="s">
        <v>360</v>
      </c>
      <c r="H93" t="str">
        <f>Table2[[#This Row],[item]] &amp; "-" &amp; Table2[[#This Row],[plausibility]] &amp; "-" &amp; Table2[[#This Row],[task]] &amp; "-" &amp; Table2[[#This Row],[n12]]</f>
        <v>16-plausible-nosecondary-n12</v>
      </c>
    </row>
    <row r="94" spans="1:8" x14ac:dyDescent="0.2">
      <c r="A94">
        <v>1</v>
      </c>
      <c r="B94">
        <v>2</v>
      </c>
      <c r="C94">
        <v>4</v>
      </c>
      <c r="D94">
        <v>18</v>
      </c>
      <c r="E94" t="s">
        <v>366</v>
      </c>
      <c r="F94" t="s">
        <v>363</v>
      </c>
      <c r="G94" t="s">
        <v>364</v>
      </c>
      <c r="H94" t="str">
        <f>Table2[[#This Row],[item]] &amp; "-" &amp; Table2[[#This Row],[plausibility]] &amp; "-" &amp; Table2[[#This Row],[task]] &amp; "-" &amp; Table2[[#This Row],[n12]]</f>
        <v>18-implausible-nosecondary-n21</v>
      </c>
    </row>
    <row r="95" spans="1:8" x14ac:dyDescent="0.2">
      <c r="A95">
        <v>1</v>
      </c>
      <c r="B95">
        <v>2</v>
      </c>
      <c r="C95">
        <v>4</v>
      </c>
      <c r="D95">
        <v>20</v>
      </c>
      <c r="E95" t="s">
        <v>366</v>
      </c>
      <c r="F95" t="s">
        <v>362</v>
      </c>
      <c r="G95" t="s">
        <v>364</v>
      </c>
      <c r="H95" t="str">
        <f>Table2[[#This Row],[item]] &amp; "-" &amp; Table2[[#This Row],[plausibility]] &amp; "-" &amp; Table2[[#This Row],[task]] &amp; "-" &amp; Table2[[#This Row],[n12]]</f>
        <v>20-implausible-articulation-n21</v>
      </c>
    </row>
    <row r="96" spans="1:8" x14ac:dyDescent="0.2">
      <c r="A96">
        <v>6</v>
      </c>
      <c r="B96">
        <v>2</v>
      </c>
      <c r="C96">
        <v>4</v>
      </c>
      <c r="D96">
        <v>22</v>
      </c>
      <c r="E96" t="s">
        <v>359</v>
      </c>
      <c r="F96" t="s">
        <v>362</v>
      </c>
      <c r="G96" t="s">
        <v>360</v>
      </c>
      <c r="H96" t="str">
        <f>Table2[[#This Row],[item]] &amp; "-" &amp; Table2[[#This Row],[plausibility]] &amp; "-" &amp; Table2[[#This Row],[task]] &amp; "-" &amp; Table2[[#This Row],[n12]]</f>
        <v>22-plausible-articulation-n12</v>
      </c>
    </row>
    <row r="97" spans="1:8" s="6" customFormat="1" x14ac:dyDescent="0.2">
      <c r="A97" s="6">
        <v>2</v>
      </c>
      <c r="B97" s="6">
        <v>2</v>
      </c>
      <c r="C97" s="6">
        <v>4</v>
      </c>
      <c r="D97" s="6">
        <v>24</v>
      </c>
      <c r="E97" s="6" t="s">
        <v>359</v>
      </c>
      <c r="F97" s="6" t="s">
        <v>363</v>
      </c>
      <c r="G97" s="6" t="s">
        <v>360</v>
      </c>
      <c r="H97" s="6" t="str">
        <f>Table2[[#This Row],[item]] &amp; "-" &amp; Table2[[#This Row],[plausibility]] &amp; "-" &amp; Table2[[#This Row],[task]] &amp; "-" &amp; Table2[[#This Row],[n12]]</f>
        <v>24-plausible-nosecondary-n12</v>
      </c>
    </row>
    <row r="98" spans="1:8" x14ac:dyDescent="0.2">
      <c r="A98">
        <v>3</v>
      </c>
      <c r="B98">
        <v>3</v>
      </c>
      <c r="C98">
        <v>1</v>
      </c>
      <c r="D98">
        <v>1</v>
      </c>
      <c r="E98" t="s">
        <v>359</v>
      </c>
      <c r="F98" t="s">
        <v>363</v>
      </c>
      <c r="G98" t="s">
        <v>360</v>
      </c>
      <c r="H98" t="str">
        <f>Table2[[#This Row],[item]] &amp; "-" &amp; Table2[[#This Row],[plausibility]] &amp; "-" &amp; Table2[[#This Row],[task]] &amp; "-" &amp; Table2[[#This Row],[n12]]</f>
        <v>1-plausible-nosecondary-n12</v>
      </c>
    </row>
    <row r="99" spans="1:8" x14ac:dyDescent="0.2">
      <c r="A99">
        <v>7</v>
      </c>
      <c r="B99">
        <v>3</v>
      </c>
      <c r="C99">
        <v>1</v>
      </c>
      <c r="D99">
        <v>4</v>
      </c>
      <c r="E99" t="s">
        <v>359</v>
      </c>
      <c r="F99" t="s">
        <v>363</v>
      </c>
      <c r="G99" t="s">
        <v>364</v>
      </c>
      <c r="H99" t="str">
        <f>Table2[[#This Row],[item]] &amp; "-" &amp; Table2[[#This Row],[plausibility]] &amp; "-" &amp; Table2[[#This Row],[task]] &amp; "-" &amp; Table2[[#This Row],[n12]]</f>
        <v>4-plausible-nosecondary-n21</v>
      </c>
    </row>
    <row r="100" spans="1:8" x14ac:dyDescent="0.2">
      <c r="A100">
        <v>4</v>
      </c>
      <c r="B100">
        <v>3</v>
      </c>
      <c r="C100">
        <v>1</v>
      </c>
      <c r="D100">
        <v>6</v>
      </c>
      <c r="E100" t="s">
        <v>366</v>
      </c>
      <c r="F100" t="s">
        <v>363</v>
      </c>
      <c r="G100" t="s">
        <v>360</v>
      </c>
      <c r="H100" t="str">
        <f>Table2[[#This Row],[item]] &amp; "-" &amp; Table2[[#This Row],[plausibility]] &amp; "-" &amp; Table2[[#This Row],[task]] &amp; "-" &amp; Table2[[#This Row],[n12]]</f>
        <v>6-implausible-nosecondary-n12</v>
      </c>
    </row>
    <row r="101" spans="1:8" x14ac:dyDescent="0.2">
      <c r="A101">
        <v>4</v>
      </c>
      <c r="B101">
        <v>3</v>
      </c>
      <c r="C101">
        <v>1</v>
      </c>
      <c r="D101">
        <v>8</v>
      </c>
      <c r="E101" t="s">
        <v>366</v>
      </c>
      <c r="F101" t="s">
        <v>362</v>
      </c>
      <c r="G101" t="s">
        <v>360</v>
      </c>
      <c r="H101" t="str">
        <f>Table2[[#This Row],[item]] &amp; "-" &amp; Table2[[#This Row],[plausibility]] &amp; "-" &amp; Table2[[#This Row],[task]] &amp; "-" &amp; Table2[[#This Row],[n12]]</f>
        <v>8-implausible-articulation-n12</v>
      </c>
    </row>
    <row r="102" spans="1:8" x14ac:dyDescent="0.2">
      <c r="A102">
        <v>3</v>
      </c>
      <c r="B102">
        <v>3</v>
      </c>
      <c r="C102">
        <v>1</v>
      </c>
      <c r="D102">
        <v>10</v>
      </c>
      <c r="E102" t="s">
        <v>359</v>
      </c>
      <c r="F102" t="s">
        <v>362</v>
      </c>
      <c r="G102" t="s">
        <v>364</v>
      </c>
      <c r="H102" t="str">
        <f>Table2[[#This Row],[item]] &amp; "-" &amp; Table2[[#This Row],[plausibility]] &amp; "-" &amp; Table2[[#This Row],[task]] &amp; "-" &amp; Table2[[#This Row],[n12]]</f>
        <v>10-plausible-articulation-n21</v>
      </c>
    </row>
    <row r="103" spans="1:8" x14ac:dyDescent="0.2">
      <c r="A103">
        <v>3</v>
      </c>
      <c r="B103">
        <v>3</v>
      </c>
      <c r="C103">
        <v>1</v>
      </c>
      <c r="D103">
        <v>11</v>
      </c>
      <c r="E103" t="s">
        <v>359</v>
      </c>
      <c r="F103" t="s">
        <v>362</v>
      </c>
      <c r="G103" t="s">
        <v>360</v>
      </c>
      <c r="H103" t="str">
        <f>Table2[[#This Row],[item]] &amp; "-" &amp; Table2[[#This Row],[plausibility]] &amp; "-" &amp; Table2[[#This Row],[task]] &amp; "-" &amp; Table2[[#This Row],[n12]]</f>
        <v>11-plausible-articulation-n12</v>
      </c>
    </row>
    <row r="104" spans="1:8" x14ac:dyDescent="0.2">
      <c r="A104">
        <v>2</v>
      </c>
      <c r="B104">
        <v>3</v>
      </c>
      <c r="C104">
        <v>1</v>
      </c>
      <c r="D104">
        <v>13</v>
      </c>
      <c r="E104" t="s">
        <v>366</v>
      </c>
      <c r="F104" t="s">
        <v>362</v>
      </c>
      <c r="G104" t="s">
        <v>364</v>
      </c>
      <c r="H104" t="str">
        <f>Table2[[#This Row],[item]] &amp; "-" &amp; Table2[[#This Row],[plausibility]] &amp; "-" &amp; Table2[[#This Row],[task]] &amp; "-" &amp; Table2[[#This Row],[n12]]</f>
        <v>13-implausible-articulation-n21</v>
      </c>
    </row>
    <row r="105" spans="1:8" x14ac:dyDescent="0.2">
      <c r="A105">
        <v>6</v>
      </c>
      <c r="B105">
        <v>3</v>
      </c>
      <c r="C105">
        <v>1</v>
      </c>
      <c r="D105">
        <v>15</v>
      </c>
      <c r="E105" t="s">
        <v>366</v>
      </c>
      <c r="F105" t="s">
        <v>363</v>
      </c>
      <c r="G105" t="s">
        <v>364</v>
      </c>
      <c r="H105" t="str">
        <f>Table2[[#This Row],[item]] &amp; "-" &amp; Table2[[#This Row],[plausibility]] &amp; "-" &amp; Table2[[#This Row],[task]] &amp; "-" &amp; Table2[[#This Row],[n12]]</f>
        <v>15-implausible-nosecondary-n21</v>
      </c>
    </row>
    <row r="106" spans="1:8" x14ac:dyDescent="0.2">
      <c r="A106">
        <v>3</v>
      </c>
      <c r="B106">
        <v>3</v>
      </c>
      <c r="C106">
        <v>1</v>
      </c>
      <c r="D106">
        <v>17</v>
      </c>
      <c r="E106" t="s">
        <v>359</v>
      </c>
      <c r="F106" t="s">
        <v>363</v>
      </c>
      <c r="G106" t="s">
        <v>360</v>
      </c>
      <c r="H106" t="str">
        <f>Table2[[#This Row],[item]] &amp; "-" &amp; Table2[[#This Row],[plausibility]] &amp; "-" &amp; Table2[[#This Row],[task]] &amp; "-" &amp; Table2[[#This Row],[n12]]</f>
        <v>17-plausible-nosecondary-n12</v>
      </c>
    </row>
    <row r="107" spans="1:8" x14ac:dyDescent="0.2">
      <c r="A107">
        <v>3</v>
      </c>
      <c r="B107">
        <v>3</v>
      </c>
      <c r="C107">
        <v>1</v>
      </c>
      <c r="D107">
        <v>19</v>
      </c>
      <c r="E107" t="s">
        <v>359</v>
      </c>
      <c r="F107" t="s">
        <v>362</v>
      </c>
      <c r="G107" t="s">
        <v>360</v>
      </c>
      <c r="H107" t="str">
        <f>Table2[[#This Row],[item]] &amp; "-" &amp; Table2[[#This Row],[plausibility]] &amp; "-" &amp; Table2[[#This Row],[task]] &amp; "-" &amp; Table2[[#This Row],[n12]]</f>
        <v>19-plausible-articulation-n12</v>
      </c>
    </row>
    <row r="108" spans="1:8" x14ac:dyDescent="0.2">
      <c r="A108">
        <v>2</v>
      </c>
      <c r="B108">
        <v>3</v>
      </c>
      <c r="C108">
        <v>1</v>
      </c>
      <c r="D108">
        <v>21</v>
      </c>
      <c r="E108" t="s">
        <v>366</v>
      </c>
      <c r="F108" t="s">
        <v>362</v>
      </c>
      <c r="G108" t="s">
        <v>364</v>
      </c>
      <c r="H108" t="str">
        <f>Table2[[#This Row],[item]] &amp; "-" &amp; Table2[[#This Row],[plausibility]] &amp; "-" &amp; Table2[[#This Row],[task]] &amp; "-" &amp; Table2[[#This Row],[n12]]</f>
        <v>21-implausible-articulation-n21</v>
      </c>
    </row>
    <row r="109" spans="1:8" s="6" customFormat="1" x14ac:dyDescent="0.2">
      <c r="A109" s="6">
        <v>6</v>
      </c>
      <c r="B109" s="6">
        <v>3</v>
      </c>
      <c r="C109" s="6">
        <v>1</v>
      </c>
      <c r="D109" s="6">
        <v>23</v>
      </c>
      <c r="E109" s="6" t="s">
        <v>366</v>
      </c>
      <c r="F109" s="6" t="s">
        <v>363</v>
      </c>
      <c r="G109" s="6" t="s">
        <v>364</v>
      </c>
      <c r="H109" s="6" t="str">
        <f>Table2[[#This Row],[item]] &amp; "-" &amp; Table2[[#This Row],[plausibility]] &amp; "-" &amp; Table2[[#This Row],[task]] &amp; "-" &amp; Table2[[#This Row],[n12]]</f>
        <v>23-implausible-nosecondary-n21</v>
      </c>
    </row>
    <row r="110" spans="1:8" x14ac:dyDescent="0.2">
      <c r="A110">
        <v>3</v>
      </c>
      <c r="B110">
        <v>3</v>
      </c>
      <c r="C110">
        <v>2</v>
      </c>
      <c r="D110">
        <v>2</v>
      </c>
      <c r="E110" t="s">
        <v>359</v>
      </c>
      <c r="F110" t="s">
        <v>362</v>
      </c>
      <c r="G110" t="s">
        <v>364</v>
      </c>
      <c r="H110" t="str">
        <f>Table2[[#This Row],[item]] &amp; "-" &amp; Table2[[#This Row],[plausibility]] &amp; "-" &amp; Table2[[#This Row],[task]] &amp; "-" &amp; Table2[[#This Row],[n12]]</f>
        <v>2-plausible-articulation-n21</v>
      </c>
    </row>
    <row r="111" spans="1:8" x14ac:dyDescent="0.2">
      <c r="A111">
        <v>3</v>
      </c>
      <c r="B111">
        <v>3</v>
      </c>
      <c r="C111">
        <v>2</v>
      </c>
      <c r="D111">
        <v>3</v>
      </c>
      <c r="E111" t="s">
        <v>359</v>
      </c>
      <c r="F111" t="s">
        <v>362</v>
      </c>
      <c r="G111" t="s">
        <v>360</v>
      </c>
      <c r="H111" t="str">
        <f>Table2[[#This Row],[item]] &amp; "-" &amp; Table2[[#This Row],[plausibility]] &amp; "-" &amp; Table2[[#This Row],[task]] &amp; "-" &amp; Table2[[#This Row],[n12]]</f>
        <v>3-plausible-articulation-n12</v>
      </c>
    </row>
    <row r="112" spans="1:8" x14ac:dyDescent="0.2">
      <c r="A112">
        <v>2</v>
      </c>
      <c r="B112">
        <v>3</v>
      </c>
      <c r="C112">
        <v>2</v>
      </c>
      <c r="D112">
        <v>5</v>
      </c>
      <c r="E112" t="s">
        <v>366</v>
      </c>
      <c r="F112" t="s">
        <v>362</v>
      </c>
      <c r="G112" t="s">
        <v>364</v>
      </c>
      <c r="H112" t="str">
        <f>Table2[[#This Row],[item]] &amp; "-" &amp; Table2[[#This Row],[plausibility]] &amp; "-" &amp; Table2[[#This Row],[task]] &amp; "-" &amp; Table2[[#This Row],[n12]]</f>
        <v>5-implausible-articulation-n21</v>
      </c>
    </row>
    <row r="113" spans="1:8" x14ac:dyDescent="0.2">
      <c r="A113">
        <v>6</v>
      </c>
      <c r="B113">
        <v>3</v>
      </c>
      <c r="C113">
        <v>2</v>
      </c>
      <c r="D113">
        <v>7</v>
      </c>
      <c r="E113" t="s">
        <v>366</v>
      </c>
      <c r="F113" t="s">
        <v>363</v>
      </c>
      <c r="G113" t="s">
        <v>364</v>
      </c>
      <c r="H113" t="str">
        <f>Table2[[#This Row],[item]] &amp; "-" &amp; Table2[[#This Row],[plausibility]] &amp; "-" &amp; Table2[[#This Row],[task]] &amp; "-" &amp; Table2[[#This Row],[n12]]</f>
        <v>7-implausible-nosecondary-n21</v>
      </c>
    </row>
    <row r="114" spans="1:8" x14ac:dyDescent="0.2">
      <c r="A114">
        <v>3</v>
      </c>
      <c r="B114">
        <v>3</v>
      </c>
      <c r="C114">
        <v>2</v>
      </c>
      <c r="D114">
        <v>9</v>
      </c>
      <c r="E114" t="s">
        <v>359</v>
      </c>
      <c r="F114" t="s">
        <v>363</v>
      </c>
      <c r="G114" t="s">
        <v>360</v>
      </c>
      <c r="H114" t="str">
        <f>Table2[[#This Row],[item]] &amp; "-" &amp; Table2[[#This Row],[plausibility]] &amp; "-" &amp; Table2[[#This Row],[task]] &amp; "-" &amp; Table2[[#This Row],[n12]]</f>
        <v>9-plausible-nosecondary-n12</v>
      </c>
    </row>
    <row r="115" spans="1:8" x14ac:dyDescent="0.2">
      <c r="A115">
        <v>7</v>
      </c>
      <c r="B115">
        <v>3</v>
      </c>
      <c r="C115">
        <v>2</v>
      </c>
      <c r="D115">
        <v>12</v>
      </c>
      <c r="E115" t="s">
        <v>359</v>
      </c>
      <c r="F115" t="s">
        <v>363</v>
      </c>
      <c r="G115" t="s">
        <v>364</v>
      </c>
      <c r="H115" t="str">
        <f>Table2[[#This Row],[item]] &amp; "-" &amp; Table2[[#This Row],[plausibility]] &amp; "-" &amp; Table2[[#This Row],[task]] &amp; "-" &amp; Table2[[#This Row],[n12]]</f>
        <v>12-plausible-nosecondary-n21</v>
      </c>
    </row>
    <row r="116" spans="1:8" x14ac:dyDescent="0.2">
      <c r="A116">
        <v>4</v>
      </c>
      <c r="B116">
        <v>3</v>
      </c>
      <c r="C116">
        <v>2</v>
      </c>
      <c r="D116">
        <v>14</v>
      </c>
      <c r="E116" t="s">
        <v>366</v>
      </c>
      <c r="F116" t="s">
        <v>363</v>
      </c>
      <c r="G116" t="s">
        <v>360</v>
      </c>
      <c r="H116" t="str">
        <f>Table2[[#This Row],[item]] &amp; "-" &amp; Table2[[#This Row],[plausibility]] &amp; "-" &amp; Table2[[#This Row],[task]] &amp; "-" &amp; Table2[[#This Row],[n12]]</f>
        <v>14-implausible-nosecondary-n12</v>
      </c>
    </row>
    <row r="117" spans="1:8" x14ac:dyDescent="0.2">
      <c r="A117">
        <v>4</v>
      </c>
      <c r="B117">
        <v>3</v>
      </c>
      <c r="C117">
        <v>2</v>
      </c>
      <c r="D117">
        <v>16</v>
      </c>
      <c r="E117" t="s">
        <v>366</v>
      </c>
      <c r="F117" t="s">
        <v>362</v>
      </c>
      <c r="G117" t="s">
        <v>360</v>
      </c>
      <c r="H117" t="str">
        <f>Table2[[#This Row],[item]] &amp; "-" &amp; Table2[[#This Row],[plausibility]] &amp; "-" &amp; Table2[[#This Row],[task]] &amp; "-" &amp; Table2[[#This Row],[n12]]</f>
        <v>16-implausible-articulation-n12</v>
      </c>
    </row>
    <row r="118" spans="1:8" x14ac:dyDescent="0.2">
      <c r="A118">
        <v>3</v>
      </c>
      <c r="B118">
        <v>3</v>
      </c>
      <c r="C118">
        <v>2</v>
      </c>
      <c r="D118">
        <v>18</v>
      </c>
      <c r="E118" t="s">
        <v>359</v>
      </c>
      <c r="F118" t="s">
        <v>362</v>
      </c>
      <c r="G118" t="s">
        <v>364</v>
      </c>
      <c r="H118" t="str">
        <f>Table2[[#This Row],[item]] &amp; "-" &amp; Table2[[#This Row],[plausibility]] &amp; "-" &amp; Table2[[#This Row],[task]] &amp; "-" &amp; Table2[[#This Row],[n12]]</f>
        <v>18-plausible-articulation-n21</v>
      </c>
    </row>
    <row r="119" spans="1:8" x14ac:dyDescent="0.2">
      <c r="A119">
        <v>7</v>
      </c>
      <c r="B119">
        <v>3</v>
      </c>
      <c r="C119">
        <v>2</v>
      </c>
      <c r="D119">
        <v>20</v>
      </c>
      <c r="E119" t="s">
        <v>359</v>
      </c>
      <c r="F119" t="s">
        <v>363</v>
      </c>
      <c r="G119" t="s">
        <v>364</v>
      </c>
      <c r="H119" t="str">
        <f>Table2[[#This Row],[item]] &amp; "-" &amp; Table2[[#This Row],[plausibility]] &amp; "-" &amp; Table2[[#This Row],[task]] &amp; "-" &amp; Table2[[#This Row],[n12]]</f>
        <v>20-plausible-nosecondary-n21</v>
      </c>
    </row>
    <row r="120" spans="1:8" x14ac:dyDescent="0.2">
      <c r="A120">
        <v>4</v>
      </c>
      <c r="B120">
        <v>3</v>
      </c>
      <c r="C120">
        <v>2</v>
      </c>
      <c r="D120">
        <v>22</v>
      </c>
      <c r="E120" t="s">
        <v>366</v>
      </c>
      <c r="F120" t="s">
        <v>363</v>
      </c>
      <c r="G120" t="s">
        <v>360</v>
      </c>
      <c r="H120" t="str">
        <f>Table2[[#This Row],[item]] &amp; "-" &amp; Table2[[#This Row],[plausibility]] &amp; "-" &amp; Table2[[#This Row],[task]] &amp; "-" &amp; Table2[[#This Row],[n12]]</f>
        <v>22-implausible-nosecondary-n12</v>
      </c>
    </row>
    <row r="121" spans="1:8" s="6" customFormat="1" x14ac:dyDescent="0.2">
      <c r="A121" s="6">
        <v>4</v>
      </c>
      <c r="B121" s="6">
        <v>3</v>
      </c>
      <c r="C121" s="6">
        <v>2</v>
      </c>
      <c r="D121" s="6">
        <v>24</v>
      </c>
      <c r="E121" s="6" t="s">
        <v>366</v>
      </c>
      <c r="F121" s="6" t="s">
        <v>362</v>
      </c>
      <c r="G121" s="6" t="s">
        <v>360</v>
      </c>
      <c r="H121" s="6" t="str">
        <f>Table2[[#This Row],[item]] &amp; "-" &amp; Table2[[#This Row],[plausibility]] &amp; "-" &amp; Table2[[#This Row],[task]] &amp; "-" &amp; Table2[[#This Row],[n12]]</f>
        <v>24-implausible-articulation-n12</v>
      </c>
    </row>
    <row r="122" spans="1:8" x14ac:dyDescent="0.2">
      <c r="A122">
        <v>6</v>
      </c>
      <c r="B122">
        <v>3</v>
      </c>
      <c r="C122">
        <v>3</v>
      </c>
      <c r="D122">
        <v>1</v>
      </c>
      <c r="E122" t="s">
        <v>366</v>
      </c>
      <c r="F122" t="s">
        <v>362</v>
      </c>
      <c r="G122" t="s">
        <v>364</v>
      </c>
      <c r="H122" t="str">
        <f>Table2[[#This Row],[item]] &amp; "-" &amp; Table2[[#This Row],[plausibility]] &amp; "-" &amp; Table2[[#This Row],[task]] &amp; "-" &amp; Table2[[#This Row],[n12]]</f>
        <v>1-implausible-articulation-n21</v>
      </c>
    </row>
    <row r="123" spans="1:8" x14ac:dyDescent="0.2">
      <c r="A123">
        <v>8</v>
      </c>
      <c r="B123">
        <v>3</v>
      </c>
      <c r="C123">
        <v>3</v>
      </c>
      <c r="D123">
        <v>4</v>
      </c>
      <c r="E123" t="s">
        <v>366</v>
      </c>
      <c r="F123" t="s">
        <v>362</v>
      </c>
      <c r="G123" t="s">
        <v>360</v>
      </c>
      <c r="H123" t="str">
        <f>Table2[[#This Row],[item]] &amp; "-" &amp; Table2[[#This Row],[plausibility]] &amp; "-" &amp; Table2[[#This Row],[task]] &amp; "-" &amp; Table2[[#This Row],[n12]]</f>
        <v>4-implausible-articulation-n12</v>
      </c>
    </row>
    <row r="124" spans="1:8" x14ac:dyDescent="0.2">
      <c r="A124">
        <v>7</v>
      </c>
      <c r="B124">
        <v>3</v>
      </c>
      <c r="C124">
        <v>3</v>
      </c>
      <c r="D124">
        <v>6</v>
      </c>
      <c r="E124" t="s">
        <v>359</v>
      </c>
      <c r="F124" t="s">
        <v>362</v>
      </c>
      <c r="G124" t="s">
        <v>364</v>
      </c>
      <c r="H124" t="str">
        <f>Table2[[#This Row],[item]] &amp; "-" &amp; Table2[[#This Row],[plausibility]] &amp; "-" &amp; Table2[[#This Row],[task]] &amp; "-" &amp; Table2[[#This Row],[n12]]</f>
        <v>6-plausible-articulation-n21</v>
      </c>
    </row>
    <row r="125" spans="1:8" x14ac:dyDescent="0.2">
      <c r="A125">
        <v>3</v>
      </c>
      <c r="B125">
        <v>3</v>
      </c>
      <c r="C125">
        <v>3</v>
      </c>
      <c r="D125">
        <v>8</v>
      </c>
      <c r="E125" t="s">
        <v>359</v>
      </c>
      <c r="F125" t="s">
        <v>363</v>
      </c>
      <c r="G125" t="s">
        <v>364</v>
      </c>
      <c r="H125" t="str">
        <f>Table2[[#This Row],[item]] &amp; "-" &amp; Table2[[#This Row],[plausibility]] &amp; "-" &amp; Table2[[#This Row],[task]] &amp; "-" &amp; Table2[[#This Row],[n12]]</f>
        <v>8-plausible-nosecondary-n21</v>
      </c>
    </row>
    <row r="126" spans="1:8" x14ac:dyDescent="0.2">
      <c r="A126">
        <v>8</v>
      </c>
      <c r="B126">
        <v>3</v>
      </c>
      <c r="C126">
        <v>3</v>
      </c>
      <c r="D126">
        <v>10</v>
      </c>
      <c r="E126" t="s">
        <v>366</v>
      </c>
      <c r="F126" t="s">
        <v>363</v>
      </c>
      <c r="G126" t="s">
        <v>360</v>
      </c>
      <c r="H126" t="str">
        <f>Table2[[#This Row],[item]] &amp; "-" &amp; Table2[[#This Row],[plausibility]] &amp; "-" &amp; Table2[[#This Row],[task]] &amp; "-" &amp; Table2[[#This Row],[n12]]</f>
        <v>10-implausible-nosecondary-n12</v>
      </c>
    </row>
    <row r="127" spans="1:8" x14ac:dyDescent="0.2">
      <c r="A127">
        <v>2</v>
      </c>
      <c r="B127">
        <v>3</v>
      </c>
      <c r="C127">
        <v>3</v>
      </c>
      <c r="D127">
        <v>11</v>
      </c>
      <c r="E127" t="s">
        <v>366</v>
      </c>
      <c r="F127" t="s">
        <v>363</v>
      </c>
      <c r="G127" t="s">
        <v>364</v>
      </c>
      <c r="H127" t="str">
        <f>Table2[[#This Row],[item]] &amp; "-" &amp; Table2[[#This Row],[plausibility]] &amp; "-" &amp; Table2[[#This Row],[task]] &amp; "-" &amp; Table2[[#This Row],[n12]]</f>
        <v>11-implausible-nosecondary-n21</v>
      </c>
    </row>
    <row r="128" spans="1:8" x14ac:dyDescent="0.2">
      <c r="A128">
        <v>7</v>
      </c>
      <c r="B128">
        <v>3</v>
      </c>
      <c r="C128">
        <v>3</v>
      </c>
      <c r="D128">
        <v>13</v>
      </c>
      <c r="E128" t="s">
        <v>359</v>
      </c>
      <c r="F128" t="s">
        <v>363</v>
      </c>
      <c r="G128" t="s">
        <v>360</v>
      </c>
      <c r="H128" t="str">
        <f>Table2[[#This Row],[item]] &amp; "-" &amp; Table2[[#This Row],[plausibility]] &amp; "-" &amp; Table2[[#This Row],[task]] &amp; "-" &amp; Table2[[#This Row],[n12]]</f>
        <v>13-plausible-nosecondary-n12</v>
      </c>
    </row>
    <row r="129" spans="1:8" x14ac:dyDescent="0.2">
      <c r="A129">
        <v>7</v>
      </c>
      <c r="B129">
        <v>3</v>
      </c>
      <c r="C129">
        <v>3</v>
      </c>
      <c r="D129">
        <v>15</v>
      </c>
      <c r="E129" t="s">
        <v>359</v>
      </c>
      <c r="F129" t="s">
        <v>362</v>
      </c>
      <c r="G129" t="s">
        <v>360</v>
      </c>
      <c r="H129" t="str">
        <f>Table2[[#This Row],[item]] &amp; "-" &amp; Table2[[#This Row],[plausibility]] &amp; "-" &amp; Table2[[#This Row],[task]] &amp; "-" &amp; Table2[[#This Row],[n12]]</f>
        <v>15-plausible-articulation-n12</v>
      </c>
    </row>
    <row r="130" spans="1:8" x14ac:dyDescent="0.2">
      <c r="A130">
        <v>6</v>
      </c>
      <c r="B130">
        <v>3</v>
      </c>
      <c r="C130">
        <v>3</v>
      </c>
      <c r="D130">
        <v>17</v>
      </c>
      <c r="E130" t="s">
        <v>366</v>
      </c>
      <c r="F130" t="s">
        <v>362</v>
      </c>
      <c r="G130" t="s">
        <v>364</v>
      </c>
      <c r="H130" t="str">
        <f>Table2[[#This Row],[item]] &amp; "-" &amp; Table2[[#This Row],[plausibility]] &amp; "-" &amp; Table2[[#This Row],[task]] &amp; "-" &amp; Table2[[#This Row],[n12]]</f>
        <v>17-implausible-articulation-n21</v>
      </c>
    </row>
    <row r="131" spans="1:8" x14ac:dyDescent="0.2">
      <c r="A131">
        <v>2</v>
      </c>
      <c r="B131">
        <v>3</v>
      </c>
      <c r="C131">
        <v>3</v>
      </c>
      <c r="D131">
        <v>19</v>
      </c>
      <c r="E131" t="s">
        <v>366</v>
      </c>
      <c r="F131" t="s">
        <v>363</v>
      </c>
      <c r="G131" t="s">
        <v>364</v>
      </c>
      <c r="H131" t="str">
        <f>Table2[[#This Row],[item]] &amp; "-" &amp; Table2[[#This Row],[plausibility]] &amp; "-" &amp; Table2[[#This Row],[task]] &amp; "-" &amp; Table2[[#This Row],[n12]]</f>
        <v>19-implausible-nosecondary-n21</v>
      </c>
    </row>
    <row r="132" spans="1:8" x14ac:dyDescent="0.2">
      <c r="A132">
        <v>7</v>
      </c>
      <c r="B132">
        <v>3</v>
      </c>
      <c r="C132">
        <v>3</v>
      </c>
      <c r="D132">
        <v>21</v>
      </c>
      <c r="E132" t="s">
        <v>359</v>
      </c>
      <c r="F132" t="s">
        <v>363</v>
      </c>
      <c r="G132" t="s">
        <v>360</v>
      </c>
      <c r="H132" t="str">
        <f>Table2[[#This Row],[item]] &amp; "-" &amp; Table2[[#This Row],[plausibility]] &amp; "-" &amp; Table2[[#This Row],[task]] &amp; "-" &amp; Table2[[#This Row],[n12]]</f>
        <v>21-plausible-nosecondary-n12</v>
      </c>
    </row>
    <row r="133" spans="1:8" s="6" customFormat="1" x14ac:dyDescent="0.2">
      <c r="A133" s="6">
        <v>7</v>
      </c>
      <c r="B133" s="6">
        <v>3</v>
      </c>
      <c r="C133" s="6">
        <v>3</v>
      </c>
      <c r="D133" s="6">
        <v>23</v>
      </c>
      <c r="E133" s="6" t="s">
        <v>359</v>
      </c>
      <c r="F133" s="6" t="s">
        <v>362</v>
      </c>
      <c r="G133" s="6" t="s">
        <v>360</v>
      </c>
      <c r="H133" s="6" t="str">
        <f>Table2[[#This Row],[item]] &amp; "-" &amp; Table2[[#This Row],[plausibility]] &amp; "-" &amp; Table2[[#This Row],[task]] &amp; "-" &amp; Table2[[#This Row],[n12]]</f>
        <v>23-plausible-articulation-n12</v>
      </c>
    </row>
    <row r="134" spans="1:8" x14ac:dyDescent="0.2">
      <c r="A134">
        <v>8</v>
      </c>
      <c r="B134">
        <v>3</v>
      </c>
      <c r="C134">
        <v>4</v>
      </c>
      <c r="D134">
        <v>2</v>
      </c>
      <c r="E134" t="s">
        <v>366</v>
      </c>
      <c r="F134" t="s">
        <v>363</v>
      </c>
      <c r="G134" t="s">
        <v>360</v>
      </c>
      <c r="H134" t="str">
        <f>Table2[[#This Row],[item]] &amp; "-" &amp; Table2[[#This Row],[plausibility]] &amp; "-" &amp; Table2[[#This Row],[task]] &amp; "-" &amp; Table2[[#This Row],[n12]]</f>
        <v>2-implausible-nosecondary-n12</v>
      </c>
    </row>
    <row r="135" spans="1:8" x14ac:dyDescent="0.2">
      <c r="A135">
        <v>2</v>
      </c>
      <c r="B135">
        <v>3</v>
      </c>
      <c r="C135">
        <v>4</v>
      </c>
      <c r="D135">
        <v>3</v>
      </c>
      <c r="E135" t="s">
        <v>366</v>
      </c>
      <c r="F135" t="s">
        <v>363</v>
      </c>
      <c r="G135" t="s">
        <v>364</v>
      </c>
      <c r="H135" t="str">
        <f>Table2[[#This Row],[item]] &amp; "-" &amp; Table2[[#This Row],[plausibility]] &amp; "-" &amp; Table2[[#This Row],[task]] &amp; "-" &amp; Table2[[#This Row],[n12]]</f>
        <v>3-implausible-nosecondary-n21</v>
      </c>
    </row>
    <row r="136" spans="1:8" x14ac:dyDescent="0.2">
      <c r="A136">
        <v>7</v>
      </c>
      <c r="B136">
        <v>3</v>
      </c>
      <c r="C136">
        <v>4</v>
      </c>
      <c r="D136">
        <v>5</v>
      </c>
      <c r="E136" t="s">
        <v>359</v>
      </c>
      <c r="F136" t="s">
        <v>363</v>
      </c>
      <c r="G136" t="s">
        <v>360</v>
      </c>
      <c r="H136" t="str">
        <f>Table2[[#This Row],[item]] &amp; "-" &amp; Table2[[#This Row],[plausibility]] &amp; "-" &amp; Table2[[#This Row],[task]] &amp; "-" &amp; Table2[[#This Row],[n12]]</f>
        <v>5-plausible-nosecondary-n12</v>
      </c>
    </row>
    <row r="137" spans="1:8" x14ac:dyDescent="0.2">
      <c r="A137">
        <v>7</v>
      </c>
      <c r="B137">
        <v>3</v>
      </c>
      <c r="C137">
        <v>4</v>
      </c>
      <c r="D137">
        <v>7</v>
      </c>
      <c r="E137" t="s">
        <v>359</v>
      </c>
      <c r="F137" t="s">
        <v>362</v>
      </c>
      <c r="G137" t="s">
        <v>360</v>
      </c>
      <c r="H137" t="str">
        <f>Table2[[#This Row],[item]] &amp; "-" &amp; Table2[[#This Row],[plausibility]] &amp; "-" &amp; Table2[[#This Row],[task]] &amp; "-" &amp; Table2[[#This Row],[n12]]</f>
        <v>7-plausible-articulation-n12</v>
      </c>
    </row>
    <row r="138" spans="1:8" x14ac:dyDescent="0.2">
      <c r="A138">
        <v>6</v>
      </c>
      <c r="B138">
        <v>3</v>
      </c>
      <c r="C138">
        <v>4</v>
      </c>
      <c r="D138">
        <v>9</v>
      </c>
      <c r="E138" t="s">
        <v>366</v>
      </c>
      <c r="F138" t="s">
        <v>362</v>
      </c>
      <c r="G138" t="s">
        <v>364</v>
      </c>
      <c r="H138" t="str">
        <f>Table2[[#This Row],[item]] &amp; "-" &amp; Table2[[#This Row],[plausibility]] &amp; "-" &amp; Table2[[#This Row],[task]] &amp; "-" &amp; Table2[[#This Row],[n12]]</f>
        <v>9-implausible-articulation-n21</v>
      </c>
    </row>
    <row r="139" spans="1:8" x14ac:dyDescent="0.2">
      <c r="A139">
        <v>8</v>
      </c>
      <c r="B139">
        <v>3</v>
      </c>
      <c r="C139">
        <v>4</v>
      </c>
      <c r="D139">
        <v>12</v>
      </c>
      <c r="E139" t="s">
        <v>366</v>
      </c>
      <c r="F139" t="s">
        <v>362</v>
      </c>
      <c r="G139" t="s">
        <v>360</v>
      </c>
      <c r="H139" t="str">
        <f>Table2[[#This Row],[item]] &amp; "-" &amp; Table2[[#This Row],[plausibility]] &amp; "-" &amp; Table2[[#This Row],[task]] &amp; "-" &amp; Table2[[#This Row],[n12]]</f>
        <v>12-implausible-articulation-n12</v>
      </c>
    </row>
    <row r="140" spans="1:8" x14ac:dyDescent="0.2">
      <c r="A140">
        <v>7</v>
      </c>
      <c r="B140">
        <v>3</v>
      </c>
      <c r="C140">
        <v>4</v>
      </c>
      <c r="D140">
        <v>14</v>
      </c>
      <c r="E140" t="s">
        <v>359</v>
      </c>
      <c r="F140" t="s">
        <v>362</v>
      </c>
      <c r="G140" t="s">
        <v>364</v>
      </c>
      <c r="H140" t="str">
        <f>Table2[[#This Row],[item]] &amp; "-" &amp; Table2[[#This Row],[plausibility]] &amp; "-" &amp; Table2[[#This Row],[task]] &amp; "-" &amp; Table2[[#This Row],[n12]]</f>
        <v>14-plausible-articulation-n21</v>
      </c>
    </row>
    <row r="141" spans="1:8" x14ac:dyDescent="0.2">
      <c r="A141">
        <v>3</v>
      </c>
      <c r="B141">
        <v>3</v>
      </c>
      <c r="C141">
        <v>4</v>
      </c>
      <c r="D141">
        <v>16</v>
      </c>
      <c r="E141" t="s">
        <v>359</v>
      </c>
      <c r="F141" t="s">
        <v>363</v>
      </c>
      <c r="G141" t="s">
        <v>364</v>
      </c>
      <c r="H141" t="str">
        <f>Table2[[#This Row],[item]] &amp; "-" &amp; Table2[[#This Row],[plausibility]] &amp; "-" &amp; Table2[[#This Row],[task]] &amp; "-" &amp; Table2[[#This Row],[n12]]</f>
        <v>16-plausible-nosecondary-n21</v>
      </c>
    </row>
    <row r="142" spans="1:8" x14ac:dyDescent="0.2">
      <c r="A142">
        <v>8</v>
      </c>
      <c r="B142">
        <v>3</v>
      </c>
      <c r="C142">
        <v>4</v>
      </c>
      <c r="D142">
        <v>18</v>
      </c>
      <c r="E142" t="s">
        <v>366</v>
      </c>
      <c r="F142" t="s">
        <v>363</v>
      </c>
      <c r="G142" t="s">
        <v>360</v>
      </c>
      <c r="H142" t="str">
        <f>Table2[[#This Row],[item]] &amp; "-" &amp; Table2[[#This Row],[plausibility]] &amp; "-" &amp; Table2[[#This Row],[task]] &amp; "-" &amp; Table2[[#This Row],[n12]]</f>
        <v>18-implausible-nosecondary-n12</v>
      </c>
    </row>
    <row r="143" spans="1:8" x14ac:dyDescent="0.2">
      <c r="A143">
        <v>8</v>
      </c>
      <c r="B143">
        <v>3</v>
      </c>
      <c r="C143">
        <v>4</v>
      </c>
      <c r="D143">
        <v>20</v>
      </c>
      <c r="E143" t="s">
        <v>366</v>
      </c>
      <c r="F143" t="s">
        <v>362</v>
      </c>
      <c r="G143" t="s">
        <v>360</v>
      </c>
      <c r="H143" t="str">
        <f>Table2[[#This Row],[item]] &amp; "-" &amp; Table2[[#This Row],[plausibility]] &amp; "-" &amp; Table2[[#This Row],[task]] &amp; "-" &amp; Table2[[#This Row],[n12]]</f>
        <v>20-implausible-articulation-n12</v>
      </c>
    </row>
    <row r="144" spans="1:8" x14ac:dyDescent="0.2">
      <c r="A144">
        <v>7</v>
      </c>
      <c r="B144">
        <v>3</v>
      </c>
      <c r="C144">
        <v>4</v>
      </c>
      <c r="D144">
        <v>22</v>
      </c>
      <c r="E144" t="s">
        <v>359</v>
      </c>
      <c r="F144" t="s">
        <v>362</v>
      </c>
      <c r="G144" t="s">
        <v>364</v>
      </c>
      <c r="H144" t="str">
        <f>Table2[[#This Row],[item]] &amp; "-" &amp; Table2[[#This Row],[plausibility]] &amp; "-" &amp; Table2[[#This Row],[task]] &amp; "-" &amp; Table2[[#This Row],[n12]]</f>
        <v>22-plausible-articulation-n21</v>
      </c>
    </row>
    <row r="145" spans="1:8" s="6" customFormat="1" x14ac:dyDescent="0.2">
      <c r="A145" s="6">
        <v>3</v>
      </c>
      <c r="B145" s="6">
        <v>3</v>
      </c>
      <c r="C145" s="6">
        <v>4</v>
      </c>
      <c r="D145" s="6">
        <v>24</v>
      </c>
      <c r="E145" s="6" t="s">
        <v>359</v>
      </c>
      <c r="F145" s="6" t="s">
        <v>363</v>
      </c>
      <c r="G145" s="6" t="s">
        <v>364</v>
      </c>
      <c r="H145" s="6" t="str">
        <f>Table2[[#This Row],[item]] &amp; "-" &amp; Table2[[#This Row],[plausibility]] &amp; "-" &amp; Table2[[#This Row],[task]] &amp; "-" &amp; Table2[[#This Row],[n12]]</f>
        <v>24-plausible-nosecondary-n21</v>
      </c>
    </row>
    <row r="146" spans="1:8" x14ac:dyDescent="0.2">
      <c r="A146">
        <v>4</v>
      </c>
      <c r="B146">
        <v>4</v>
      </c>
      <c r="C146">
        <v>1</v>
      </c>
      <c r="D146">
        <v>1</v>
      </c>
      <c r="E146" t="s">
        <v>359</v>
      </c>
      <c r="F146" t="s">
        <v>363</v>
      </c>
      <c r="G146" t="s">
        <v>364</v>
      </c>
      <c r="H146" t="str">
        <f>Table2[[#This Row],[item]] &amp; "-" &amp; Table2[[#This Row],[plausibility]] &amp; "-" &amp; Table2[[#This Row],[task]] &amp; "-" &amp; Table2[[#This Row],[n12]]</f>
        <v>1-plausible-nosecondary-n21</v>
      </c>
    </row>
    <row r="147" spans="1:8" x14ac:dyDescent="0.2">
      <c r="A147">
        <v>4</v>
      </c>
      <c r="B147">
        <v>4</v>
      </c>
      <c r="C147">
        <v>1</v>
      </c>
      <c r="D147">
        <v>4</v>
      </c>
      <c r="E147" t="s">
        <v>359</v>
      </c>
      <c r="F147" t="s">
        <v>362</v>
      </c>
      <c r="G147" t="s">
        <v>360</v>
      </c>
      <c r="H147" t="str">
        <f>Table2[[#This Row],[item]] &amp; "-" &amp; Table2[[#This Row],[plausibility]] &amp; "-" &amp; Table2[[#This Row],[task]] &amp; "-" &amp; Table2[[#This Row],[n12]]</f>
        <v>4-plausible-articulation-n12</v>
      </c>
    </row>
    <row r="148" spans="1:8" x14ac:dyDescent="0.2">
      <c r="A148">
        <v>3</v>
      </c>
      <c r="B148">
        <v>4</v>
      </c>
      <c r="C148">
        <v>1</v>
      </c>
      <c r="D148">
        <v>6</v>
      </c>
      <c r="E148" t="s">
        <v>366</v>
      </c>
      <c r="F148" t="s">
        <v>362</v>
      </c>
      <c r="G148" t="s">
        <v>364</v>
      </c>
      <c r="H148" t="str">
        <f>Table2[[#This Row],[item]] &amp; "-" &amp; Table2[[#This Row],[plausibility]] &amp; "-" &amp; Table2[[#This Row],[task]] &amp; "-" &amp; Table2[[#This Row],[n12]]</f>
        <v>6-implausible-articulation-n21</v>
      </c>
    </row>
    <row r="149" spans="1:8" x14ac:dyDescent="0.2">
      <c r="A149">
        <v>7</v>
      </c>
      <c r="B149">
        <v>4</v>
      </c>
      <c r="C149">
        <v>1</v>
      </c>
      <c r="D149">
        <v>8</v>
      </c>
      <c r="E149" t="s">
        <v>366</v>
      </c>
      <c r="F149" t="s">
        <v>363</v>
      </c>
      <c r="G149" t="s">
        <v>364</v>
      </c>
      <c r="H149" t="str">
        <f>Table2[[#This Row],[item]] &amp; "-" &amp; Table2[[#This Row],[plausibility]] &amp; "-" &amp; Table2[[#This Row],[task]] &amp; "-" &amp; Table2[[#This Row],[n12]]</f>
        <v>8-implausible-nosecondary-n21</v>
      </c>
    </row>
    <row r="150" spans="1:8" x14ac:dyDescent="0.2">
      <c r="A150">
        <v>4</v>
      </c>
      <c r="B150">
        <v>4</v>
      </c>
      <c r="C150">
        <v>1</v>
      </c>
      <c r="D150">
        <v>10</v>
      </c>
      <c r="E150" t="s">
        <v>359</v>
      </c>
      <c r="F150" t="s">
        <v>363</v>
      </c>
      <c r="G150" t="s">
        <v>360</v>
      </c>
      <c r="H150" t="str">
        <f>Table2[[#This Row],[item]] &amp; "-" &amp; Table2[[#This Row],[plausibility]] &amp; "-" &amp; Table2[[#This Row],[task]] &amp; "-" &amp; Table2[[#This Row],[n12]]</f>
        <v>10-plausible-nosecondary-n12</v>
      </c>
    </row>
    <row r="151" spans="1:8" x14ac:dyDescent="0.2">
      <c r="A151">
        <v>4</v>
      </c>
      <c r="B151">
        <v>4</v>
      </c>
      <c r="C151">
        <v>1</v>
      </c>
      <c r="D151">
        <v>11</v>
      </c>
      <c r="E151" t="s">
        <v>359</v>
      </c>
      <c r="F151" t="s">
        <v>362</v>
      </c>
      <c r="G151" t="s">
        <v>364</v>
      </c>
      <c r="H151" t="str">
        <f>Table2[[#This Row],[item]] &amp; "-" &amp; Table2[[#This Row],[plausibility]] &amp; "-" &amp; Table2[[#This Row],[task]] &amp; "-" &amp; Table2[[#This Row],[n12]]</f>
        <v>11-plausible-articulation-n21</v>
      </c>
    </row>
    <row r="152" spans="1:8" x14ac:dyDescent="0.2">
      <c r="A152">
        <v>1</v>
      </c>
      <c r="B152">
        <v>4</v>
      </c>
      <c r="C152">
        <v>1</v>
      </c>
      <c r="D152">
        <v>13</v>
      </c>
      <c r="E152" t="s">
        <v>366</v>
      </c>
      <c r="F152" t="s">
        <v>362</v>
      </c>
      <c r="G152" t="s">
        <v>360</v>
      </c>
      <c r="H152" t="str">
        <f>Table2[[#This Row],[item]] &amp; "-" &amp; Table2[[#This Row],[plausibility]] &amp; "-" &amp; Table2[[#This Row],[task]] &amp; "-" &amp; Table2[[#This Row],[n12]]</f>
        <v>13-implausible-articulation-n12</v>
      </c>
    </row>
    <row r="153" spans="1:8" x14ac:dyDescent="0.2">
      <c r="A153">
        <v>5</v>
      </c>
      <c r="B153">
        <v>4</v>
      </c>
      <c r="C153">
        <v>1</v>
      </c>
      <c r="D153">
        <v>15</v>
      </c>
      <c r="E153" t="s">
        <v>366</v>
      </c>
      <c r="F153" t="s">
        <v>363</v>
      </c>
      <c r="G153" t="s">
        <v>360</v>
      </c>
      <c r="H153" t="str">
        <f>Table2[[#This Row],[item]] &amp; "-" &amp; Table2[[#This Row],[plausibility]] &amp; "-" &amp; Table2[[#This Row],[task]] &amp; "-" &amp; Table2[[#This Row],[n12]]</f>
        <v>15-implausible-nosecondary-n12</v>
      </c>
    </row>
    <row r="154" spans="1:8" x14ac:dyDescent="0.2">
      <c r="A154">
        <v>4</v>
      </c>
      <c r="B154">
        <v>4</v>
      </c>
      <c r="C154">
        <v>1</v>
      </c>
      <c r="D154">
        <v>17</v>
      </c>
      <c r="E154" t="s">
        <v>359</v>
      </c>
      <c r="F154" t="s">
        <v>363</v>
      </c>
      <c r="G154" t="s">
        <v>364</v>
      </c>
      <c r="H154" t="str">
        <f>Table2[[#This Row],[item]] &amp; "-" &amp; Table2[[#This Row],[plausibility]] &amp; "-" &amp; Table2[[#This Row],[task]] &amp; "-" &amp; Table2[[#This Row],[n12]]</f>
        <v>17-plausible-nosecondary-n21</v>
      </c>
    </row>
    <row r="155" spans="1:8" x14ac:dyDescent="0.2">
      <c r="A155">
        <v>4</v>
      </c>
      <c r="B155">
        <v>4</v>
      </c>
      <c r="C155">
        <v>1</v>
      </c>
      <c r="D155">
        <v>19</v>
      </c>
      <c r="E155" t="s">
        <v>359</v>
      </c>
      <c r="F155" t="s">
        <v>362</v>
      </c>
      <c r="G155" t="s">
        <v>364</v>
      </c>
      <c r="H155" t="str">
        <f>Table2[[#This Row],[item]] &amp; "-" &amp; Table2[[#This Row],[plausibility]] &amp; "-" &amp; Table2[[#This Row],[task]] &amp; "-" &amp; Table2[[#This Row],[n12]]</f>
        <v>19-plausible-articulation-n21</v>
      </c>
    </row>
    <row r="156" spans="1:8" x14ac:dyDescent="0.2">
      <c r="A156">
        <v>1</v>
      </c>
      <c r="B156">
        <v>4</v>
      </c>
      <c r="C156">
        <v>1</v>
      </c>
      <c r="D156">
        <v>21</v>
      </c>
      <c r="E156" t="s">
        <v>366</v>
      </c>
      <c r="F156" t="s">
        <v>362</v>
      </c>
      <c r="G156" t="s">
        <v>360</v>
      </c>
      <c r="H156" t="str">
        <f>Table2[[#This Row],[item]] &amp; "-" &amp; Table2[[#This Row],[plausibility]] &amp; "-" &amp; Table2[[#This Row],[task]] &amp; "-" &amp; Table2[[#This Row],[n12]]</f>
        <v>21-implausible-articulation-n12</v>
      </c>
    </row>
    <row r="157" spans="1:8" s="6" customFormat="1" x14ac:dyDescent="0.2">
      <c r="A157" s="6">
        <v>5</v>
      </c>
      <c r="B157" s="6">
        <v>4</v>
      </c>
      <c r="C157" s="6">
        <v>1</v>
      </c>
      <c r="D157" s="6">
        <v>23</v>
      </c>
      <c r="E157" s="6" t="s">
        <v>366</v>
      </c>
      <c r="F157" s="6" t="s">
        <v>363</v>
      </c>
      <c r="G157" s="6" t="s">
        <v>360</v>
      </c>
      <c r="H157" s="6" t="str">
        <f>Table2[[#This Row],[item]] &amp; "-" &amp; Table2[[#This Row],[plausibility]] &amp; "-" &amp; Table2[[#This Row],[task]] &amp; "-" &amp; Table2[[#This Row],[n12]]</f>
        <v>23-implausible-nosecondary-n12</v>
      </c>
    </row>
    <row r="158" spans="1:8" x14ac:dyDescent="0.2">
      <c r="A158">
        <v>4</v>
      </c>
      <c r="B158">
        <v>4</v>
      </c>
      <c r="C158">
        <v>2</v>
      </c>
      <c r="D158">
        <v>2</v>
      </c>
      <c r="E158" t="s">
        <v>359</v>
      </c>
      <c r="F158" t="s">
        <v>363</v>
      </c>
      <c r="G158" t="s">
        <v>360</v>
      </c>
      <c r="H158" t="str">
        <f>Table2[[#This Row],[item]] &amp; "-" &amp; Table2[[#This Row],[plausibility]] &amp; "-" &amp; Table2[[#This Row],[task]] &amp; "-" &amp; Table2[[#This Row],[n12]]</f>
        <v>2-plausible-nosecondary-n12</v>
      </c>
    </row>
    <row r="159" spans="1:8" x14ac:dyDescent="0.2">
      <c r="A159">
        <v>4</v>
      </c>
      <c r="B159">
        <v>4</v>
      </c>
      <c r="C159">
        <v>2</v>
      </c>
      <c r="D159">
        <v>3</v>
      </c>
      <c r="E159" t="s">
        <v>359</v>
      </c>
      <c r="F159" t="s">
        <v>362</v>
      </c>
      <c r="G159" t="s">
        <v>364</v>
      </c>
      <c r="H159" t="str">
        <f>Table2[[#This Row],[item]] &amp; "-" &amp; Table2[[#This Row],[plausibility]] &amp; "-" &amp; Table2[[#This Row],[task]] &amp; "-" &amp; Table2[[#This Row],[n12]]</f>
        <v>3-plausible-articulation-n21</v>
      </c>
    </row>
    <row r="160" spans="1:8" x14ac:dyDescent="0.2">
      <c r="A160">
        <v>1</v>
      </c>
      <c r="B160">
        <v>4</v>
      </c>
      <c r="C160">
        <v>2</v>
      </c>
      <c r="D160">
        <v>5</v>
      </c>
      <c r="E160" t="s">
        <v>366</v>
      </c>
      <c r="F160" t="s">
        <v>362</v>
      </c>
      <c r="G160" t="s">
        <v>360</v>
      </c>
      <c r="H160" t="str">
        <f>Table2[[#This Row],[item]] &amp; "-" &amp; Table2[[#This Row],[plausibility]] &amp; "-" &amp; Table2[[#This Row],[task]] &amp; "-" &amp; Table2[[#This Row],[n12]]</f>
        <v>5-implausible-articulation-n12</v>
      </c>
    </row>
    <row r="161" spans="1:8" x14ac:dyDescent="0.2">
      <c r="A161">
        <v>5</v>
      </c>
      <c r="B161">
        <v>4</v>
      </c>
      <c r="C161">
        <v>2</v>
      </c>
      <c r="D161">
        <v>7</v>
      </c>
      <c r="E161" t="s">
        <v>366</v>
      </c>
      <c r="F161" t="s">
        <v>363</v>
      </c>
      <c r="G161" t="s">
        <v>360</v>
      </c>
      <c r="H161" t="str">
        <f>Table2[[#This Row],[item]] &amp; "-" &amp; Table2[[#This Row],[plausibility]] &amp; "-" &amp; Table2[[#This Row],[task]] &amp; "-" &amp; Table2[[#This Row],[n12]]</f>
        <v>7-implausible-nosecondary-n12</v>
      </c>
    </row>
    <row r="162" spans="1:8" x14ac:dyDescent="0.2">
      <c r="A162">
        <v>4</v>
      </c>
      <c r="B162">
        <v>4</v>
      </c>
      <c r="C162">
        <v>2</v>
      </c>
      <c r="D162">
        <v>9</v>
      </c>
      <c r="E162" t="s">
        <v>359</v>
      </c>
      <c r="F162" t="s">
        <v>363</v>
      </c>
      <c r="G162" t="s">
        <v>364</v>
      </c>
      <c r="H162" t="str">
        <f>Table2[[#This Row],[item]] &amp; "-" &amp; Table2[[#This Row],[plausibility]] &amp; "-" &amp; Table2[[#This Row],[task]] &amp; "-" &amp; Table2[[#This Row],[n12]]</f>
        <v>9-plausible-nosecondary-n21</v>
      </c>
    </row>
    <row r="163" spans="1:8" x14ac:dyDescent="0.2">
      <c r="A163">
        <v>4</v>
      </c>
      <c r="B163">
        <v>4</v>
      </c>
      <c r="C163">
        <v>2</v>
      </c>
      <c r="D163">
        <v>12</v>
      </c>
      <c r="E163" t="s">
        <v>359</v>
      </c>
      <c r="F163" t="s">
        <v>362</v>
      </c>
      <c r="G163" t="s">
        <v>360</v>
      </c>
      <c r="H163" t="str">
        <f>Table2[[#This Row],[item]] &amp; "-" &amp; Table2[[#This Row],[plausibility]] &amp; "-" &amp; Table2[[#This Row],[task]] &amp; "-" &amp; Table2[[#This Row],[n12]]</f>
        <v>12-plausible-articulation-n12</v>
      </c>
    </row>
    <row r="164" spans="1:8" x14ac:dyDescent="0.2">
      <c r="A164">
        <v>3</v>
      </c>
      <c r="B164">
        <v>4</v>
      </c>
      <c r="C164">
        <v>2</v>
      </c>
      <c r="D164">
        <v>14</v>
      </c>
      <c r="E164" t="s">
        <v>366</v>
      </c>
      <c r="F164" t="s">
        <v>362</v>
      </c>
      <c r="G164" t="s">
        <v>364</v>
      </c>
      <c r="H164" t="str">
        <f>Table2[[#This Row],[item]] &amp; "-" &amp; Table2[[#This Row],[plausibility]] &amp; "-" &amp; Table2[[#This Row],[task]] &amp; "-" &amp; Table2[[#This Row],[n12]]</f>
        <v>14-implausible-articulation-n21</v>
      </c>
    </row>
    <row r="165" spans="1:8" x14ac:dyDescent="0.2">
      <c r="A165">
        <v>7</v>
      </c>
      <c r="B165">
        <v>4</v>
      </c>
      <c r="C165">
        <v>2</v>
      </c>
      <c r="D165">
        <v>16</v>
      </c>
      <c r="E165" t="s">
        <v>366</v>
      </c>
      <c r="F165" t="s">
        <v>363</v>
      </c>
      <c r="G165" t="s">
        <v>364</v>
      </c>
      <c r="H165" t="str">
        <f>Table2[[#This Row],[item]] &amp; "-" &amp; Table2[[#This Row],[plausibility]] &amp; "-" &amp; Table2[[#This Row],[task]] &amp; "-" &amp; Table2[[#This Row],[n12]]</f>
        <v>16-implausible-nosecondary-n21</v>
      </c>
    </row>
    <row r="166" spans="1:8" x14ac:dyDescent="0.2">
      <c r="A166">
        <v>4</v>
      </c>
      <c r="B166">
        <v>4</v>
      </c>
      <c r="C166">
        <v>2</v>
      </c>
      <c r="D166">
        <v>18</v>
      </c>
      <c r="E166" t="s">
        <v>359</v>
      </c>
      <c r="F166" t="s">
        <v>363</v>
      </c>
      <c r="G166" t="s">
        <v>360</v>
      </c>
      <c r="H166" t="str">
        <f>Table2[[#This Row],[item]] &amp; "-" &amp; Table2[[#This Row],[plausibility]] &amp; "-" &amp; Table2[[#This Row],[task]] &amp; "-" &amp; Table2[[#This Row],[n12]]</f>
        <v>18-plausible-nosecondary-n12</v>
      </c>
    </row>
    <row r="167" spans="1:8" x14ac:dyDescent="0.2">
      <c r="A167">
        <v>4</v>
      </c>
      <c r="B167">
        <v>4</v>
      </c>
      <c r="C167">
        <v>2</v>
      </c>
      <c r="D167">
        <v>20</v>
      </c>
      <c r="E167" t="s">
        <v>359</v>
      </c>
      <c r="F167" t="s">
        <v>362</v>
      </c>
      <c r="G167" t="s">
        <v>360</v>
      </c>
      <c r="H167" t="str">
        <f>Table2[[#This Row],[item]] &amp; "-" &amp; Table2[[#This Row],[plausibility]] &amp; "-" &amp; Table2[[#This Row],[task]] &amp; "-" &amp; Table2[[#This Row],[n12]]</f>
        <v>20-plausible-articulation-n12</v>
      </c>
    </row>
    <row r="168" spans="1:8" x14ac:dyDescent="0.2">
      <c r="A168">
        <v>3</v>
      </c>
      <c r="B168">
        <v>4</v>
      </c>
      <c r="C168">
        <v>2</v>
      </c>
      <c r="D168">
        <v>22</v>
      </c>
      <c r="E168" t="s">
        <v>366</v>
      </c>
      <c r="F168" t="s">
        <v>362</v>
      </c>
      <c r="G168" t="s">
        <v>364</v>
      </c>
      <c r="H168" t="str">
        <f>Table2[[#This Row],[item]] &amp; "-" &amp; Table2[[#This Row],[plausibility]] &amp; "-" &amp; Table2[[#This Row],[task]] &amp; "-" &amp; Table2[[#This Row],[n12]]</f>
        <v>22-implausible-articulation-n21</v>
      </c>
    </row>
    <row r="169" spans="1:8" s="6" customFormat="1" x14ac:dyDescent="0.2">
      <c r="A169" s="6">
        <v>7</v>
      </c>
      <c r="B169" s="6">
        <v>4</v>
      </c>
      <c r="C169" s="6">
        <v>2</v>
      </c>
      <c r="D169" s="6">
        <v>24</v>
      </c>
      <c r="E169" s="6" t="s">
        <v>366</v>
      </c>
      <c r="F169" s="6" t="s">
        <v>363</v>
      </c>
      <c r="G169" s="6" t="s">
        <v>364</v>
      </c>
      <c r="H169" s="6" t="str">
        <f>Table2[[#This Row],[item]] &amp; "-" &amp; Table2[[#This Row],[plausibility]] &amp; "-" &amp; Table2[[#This Row],[task]] &amp; "-" &amp; Table2[[#This Row],[n12]]</f>
        <v>24-implausible-nosecondary-n21</v>
      </c>
    </row>
    <row r="170" spans="1:8" x14ac:dyDescent="0.2">
      <c r="A170">
        <v>5</v>
      </c>
      <c r="B170">
        <v>4</v>
      </c>
      <c r="C170">
        <v>3</v>
      </c>
      <c r="D170">
        <v>1</v>
      </c>
      <c r="E170" t="s">
        <v>366</v>
      </c>
      <c r="F170" t="s">
        <v>362</v>
      </c>
      <c r="G170" t="s">
        <v>360</v>
      </c>
      <c r="H170" t="str">
        <f>Table2[[#This Row],[item]] &amp; "-" &amp; Table2[[#This Row],[plausibility]] &amp; "-" &amp; Table2[[#This Row],[task]] &amp; "-" &amp; Table2[[#This Row],[n12]]</f>
        <v>1-implausible-articulation-n12</v>
      </c>
    </row>
    <row r="171" spans="1:8" x14ac:dyDescent="0.2">
      <c r="A171">
        <v>3</v>
      </c>
      <c r="B171">
        <v>4</v>
      </c>
      <c r="C171">
        <v>3</v>
      </c>
      <c r="D171">
        <v>4</v>
      </c>
      <c r="E171" t="s">
        <v>366</v>
      </c>
      <c r="F171" t="s">
        <v>363</v>
      </c>
      <c r="G171" t="s">
        <v>364</v>
      </c>
      <c r="H171" t="str">
        <f>Table2[[#This Row],[item]] &amp; "-" &amp; Table2[[#This Row],[plausibility]] &amp; "-" &amp; Table2[[#This Row],[task]] &amp; "-" &amp; Table2[[#This Row],[n12]]</f>
        <v>4-implausible-nosecondary-n21</v>
      </c>
    </row>
    <row r="172" spans="1:8" x14ac:dyDescent="0.2">
      <c r="A172">
        <v>8</v>
      </c>
      <c r="B172">
        <v>4</v>
      </c>
      <c r="C172">
        <v>3</v>
      </c>
      <c r="D172">
        <v>6</v>
      </c>
      <c r="E172" t="s">
        <v>359</v>
      </c>
      <c r="F172" t="s">
        <v>363</v>
      </c>
      <c r="G172" t="s">
        <v>360</v>
      </c>
      <c r="H172" t="str">
        <f>Table2[[#This Row],[item]] &amp; "-" &amp; Table2[[#This Row],[plausibility]] &amp; "-" &amp; Table2[[#This Row],[task]] &amp; "-" &amp; Table2[[#This Row],[n12]]</f>
        <v>6-plausible-nosecondary-n12</v>
      </c>
    </row>
    <row r="173" spans="1:8" x14ac:dyDescent="0.2">
      <c r="A173">
        <v>8</v>
      </c>
      <c r="B173">
        <v>4</v>
      </c>
      <c r="C173">
        <v>3</v>
      </c>
      <c r="D173">
        <v>8</v>
      </c>
      <c r="E173" t="s">
        <v>359</v>
      </c>
      <c r="F173" t="s">
        <v>362</v>
      </c>
      <c r="G173" t="s">
        <v>360</v>
      </c>
      <c r="H173" t="str">
        <f>Table2[[#This Row],[item]] &amp; "-" &amp; Table2[[#This Row],[plausibility]] &amp; "-" &amp; Table2[[#This Row],[task]] &amp; "-" &amp; Table2[[#This Row],[n12]]</f>
        <v>8-plausible-articulation-n12</v>
      </c>
    </row>
    <row r="174" spans="1:8" x14ac:dyDescent="0.2">
      <c r="A174">
        <v>7</v>
      </c>
      <c r="B174">
        <v>4</v>
      </c>
      <c r="C174">
        <v>3</v>
      </c>
      <c r="D174">
        <v>10</v>
      </c>
      <c r="E174" t="s">
        <v>366</v>
      </c>
      <c r="F174" t="s">
        <v>362</v>
      </c>
      <c r="G174" t="s">
        <v>364</v>
      </c>
      <c r="H174" t="str">
        <f>Table2[[#This Row],[item]] &amp; "-" &amp; Table2[[#This Row],[plausibility]] &amp; "-" &amp; Table2[[#This Row],[task]] &amp; "-" &amp; Table2[[#This Row],[n12]]</f>
        <v>10-implausible-articulation-n21</v>
      </c>
    </row>
    <row r="175" spans="1:8" x14ac:dyDescent="0.2">
      <c r="A175">
        <v>1</v>
      </c>
      <c r="B175">
        <v>4</v>
      </c>
      <c r="C175">
        <v>3</v>
      </c>
      <c r="D175">
        <v>11</v>
      </c>
      <c r="E175" t="s">
        <v>366</v>
      </c>
      <c r="F175" t="s">
        <v>363</v>
      </c>
      <c r="G175" t="s">
        <v>360</v>
      </c>
      <c r="H175" t="str">
        <f>Table2[[#This Row],[item]] &amp; "-" &amp; Table2[[#This Row],[plausibility]] &amp; "-" &amp; Table2[[#This Row],[task]] &amp; "-" &amp; Table2[[#This Row],[n12]]</f>
        <v>11-implausible-nosecondary-n12</v>
      </c>
    </row>
    <row r="176" spans="1:8" x14ac:dyDescent="0.2">
      <c r="A176">
        <v>8</v>
      </c>
      <c r="B176">
        <v>4</v>
      </c>
      <c r="C176">
        <v>3</v>
      </c>
      <c r="D176">
        <v>13</v>
      </c>
      <c r="E176" t="s">
        <v>359</v>
      </c>
      <c r="F176" t="s">
        <v>363</v>
      </c>
      <c r="G176" t="s">
        <v>364</v>
      </c>
      <c r="H176" t="str">
        <f>Table2[[#This Row],[item]] &amp; "-" &amp; Table2[[#This Row],[plausibility]] &amp; "-" &amp; Table2[[#This Row],[task]] &amp; "-" &amp; Table2[[#This Row],[n12]]</f>
        <v>13-plausible-nosecondary-n21</v>
      </c>
    </row>
    <row r="177" spans="1:8" x14ac:dyDescent="0.2">
      <c r="A177">
        <v>8</v>
      </c>
      <c r="B177">
        <v>4</v>
      </c>
      <c r="C177">
        <v>3</v>
      </c>
      <c r="D177">
        <v>15</v>
      </c>
      <c r="E177" t="s">
        <v>359</v>
      </c>
      <c r="F177" t="s">
        <v>362</v>
      </c>
      <c r="G177" t="s">
        <v>364</v>
      </c>
      <c r="H177" t="str">
        <f>Table2[[#This Row],[item]] &amp; "-" &amp; Table2[[#This Row],[plausibility]] &amp; "-" &amp; Table2[[#This Row],[task]] &amp; "-" &amp; Table2[[#This Row],[n12]]</f>
        <v>15-plausible-articulation-n21</v>
      </c>
    </row>
    <row r="178" spans="1:8" x14ac:dyDescent="0.2">
      <c r="A178">
        <v>5</v>
      </c>
      <c r="B178">
        <v>4</v>
      </c>
      <c r="C178">
        <v>3</v>
      </c>
      <c r="D178">
        <v>17</v>
      </c>
      <c r="E178" t="s">
        <v>366</v>
      </c>
      <c r="F178" t="s">
        <v>362</v>
      </c>
      <c r="G178" t="s">
        <v>360</v>
      </c>
      <c r="H178" t="str">
        <f>Table2[[#This Row],[item]] &amp; "-" &amp; Table2[[#This Row],[plausibility]] &amp; "-" &amp; Table2[[#This Row],[task]] &amp; "-" &amp; Table2[[#This Row],[n12]]</f>
        <v>17-implausible-articulation-n12</v>
      </c>
    </row>
    <row r="179" spans="1:8" x14ac:dyDescent="0.2">
      <c r="A179">
        <v>1</v>
      </c>
      <c r="B179">
        <v>4</v>
      </c>
      <c r="C179">
        <v>3</v>
      </c>
      <c r="D179">
        <v>19</v>
      </c>
      <c r="E179" t="s">
        <v>366</v>
      </c>
      <c r="F179" t="s">
        <v>363</v>
      </c>
      <c r="G179" t="s">
        <v>360</v>
      </c>
      <c r="H179" t="str">
        <f>Table2[[#This Row],[item]] &amp; "-" &amp; Table2[[#This Row],[plausibility]] &amp; "-" &amp; Table2[[#This Row],[task]] &amp; "-" &amp; Table2[[#This Row],[n12]]</f>
        <v>19-implausible-nosecondary-n12</v>
      </c>
    </row>
    <row r="180" spans="1:8" x14ac:dyDescent="0.2">
      <c r="A180">
        <v>8</v>
      </c>
      <c r="B180">
        <v>4</v>
      </c>
      <c r="C180">
        <v>3</v>
      </c>
      <c r="D180">
        <v>21</v>
      </c>
      <c r="E180" t="s">
        <v>359</v>
      </c>
      <c r="F180" t="s">
        <v>363</v>
      </c>
      <c r="G180" t="s">
        <v>364</v>
      </c>
      <c r="H180" t="str">
        <f>Table2[[#This Row],[item]] &amp; "-" &amp; Table2[[#This Row],[plausibility]] &amp; "-" &amp; Table2[[#This Row],[task]] &amp; "-" &amp; Table2[[#This Row],[n12]]</f>
        <v>21-plausible-nosecondary-n21</v>
      </c>
    </row>
    <row r="181" spans="1:8" s="6" customFormat="1" x14ac:dyDescent="0.2">
      <c r="A181" s="6">
        <v>8</v>
      </c>
      <c r="B181" s="6">
        <v>4</v>
      </c>
      <c r="C181" s="6">
        <v>3</v>
      </c>
      <c r="D181" s="6">
        <v>23</v>
      </c>
      <c r="E181" s="6" t="s">
        <v>359</v>
      </c>
      <c r="F181" s="6" t="s">
        <v>362</v>
      </c>
      <c r="G181" s="6" t="s">
        <v>364</v>
      </c>
      <c r="H181" s="6" t="str">
        <f>Table2[[#This Row],[item]] &amp; "-" &amp; Table2[[#This Row],[plausibility]] &amp; "-" &amp; Table2[[#This Row],[task]] &amp; "-" &amp; Table2[[#This Row],[n12]]</f>
        <v>23-plausible-articulation-n21</v>
      </c>
    </row>
    <row r="182" spans="1:8" x14ac:dyDescent="0.2">
      <c r="A182">
        <v>7</v>
      </c>
      <c r="B182">
        <v>4</v>
      </c>
      <c r="C182">
        <v>4</v>
      </c>
      <c r="D182">
        <v>2</v>
      </c>
      <c r="E182" t="s">
        <v>366</v>
      </c>
      <c r="F182" t="s">
        <v>362</v>
      </c>
      <c r="G182" t="s">
        <v>364</v>
      </c>
      <c r="H182" t="str">
        <f>Table2[[#This Row],[item]] &amp; "-" &amp; Table2[[#This Row],[plausibility]] &amp; "-" &amp; Table2[[#This Row],[task]] &amp; "-" &amp; Table2[[#This Row],[n12]]</f>
        <v>2-implausible-articulation-n21</v>
      </c>
    </row>
    <row r="183" spans="1:8" x14ac:dyDescent="0.2">
      <c r="A183">
        <v>1</v>
      </c>
      <c r="B183">
        <v>4</v>
      </c>
      <c r="C183">
        <v>4</v>
      </c>
      <c r="D183">
        <v>3</v>
      </c>
      <c r="E183" t="s">
        <v>366</v>
      </c>
      <c r="F183" t="s">
        <v>363</v>
      </c>
      <c r="G183" t="s">
        <v>360</v>
      </c>
      <c r="H183" t="str">
        <f>Table2[[#This Row],[item]] &amp; "-" &amp; Table2[[#This Row],[plausibility]] &amp; "-" &amp; Table2[[#This Row],[task]] &amp; "-" &amp; Table2[[#This Row],[n12]]</f>
        <v>3-implausible-nosecondary-n12</v>
      </c>
    </row>
    <row r="184" spans="1:8" x14ac:dyDescent="0.2">
      <c r="A184">
        <v>8</v>
      </c>
      <c r="B184">
        <v>4</v>
      </c>
      <c r="C184">
        <v>4</v>
      </c>
      <c r="D184">
        <v>5</v>
      </c>
      <c r="E184" t="s">
        <v>359</v>
      </c>
      <c r="F184" t="s">
        <v>363</v>
      </c>
      <c r="G184" t="s">
        <v>364</v>
      </c>
      <c r="H184" t="str">
        <f>Table2[[#This Row],[item]] &amp; "-" &amp; Table2[[#This Row],[plausibility]] &amp; "-" &amp; Table2[[#This Row],[task]] &amp; "-" &amp; Table2[[#This Row],[n12]]</f>
        <v>5-plausible-nosecondary-n21</v>
      </c>
    </row>
    <row r="185" spans="1:8" x14ac:dyDescent="0.2">
      <c r="A185">
        <v>8</v>
      </c>
      <c r="B185">
        <v>4</v>
      </c>
      <c r="C185">
        <v>4</v>
      </c>
      <c r="D185">
        <v>7</v>
      </c>
      <c r="E185" t="s">
        <v>359</v>
      </c>
      <c r="F185" t="s">
        <v>362</v>
      </c>
      <c r="G185" t="s">
        <v>364</v>
      </c>
      <c r="H185" t="str">
        <f>Table2[[#This Row],[item]] &amp; "-" &amp; Table2[[#This Row],[plausibility]] &amp; "-" &amp; Table2[[#This Row],[task]] &amp; "-" &amp; Table2[[#This Row],[n12]]</f>
        <v>7-plausible-articulation-n21</v>
      </c>
    </row>
    <row r="186" spans="1:8" x14ac:dyDescent="0.2">
      <c r="A186">
        <v>5</v>
      </c>
      <c r="B186">
        <v>4</v>
      </c>
      <c r="C186">
        <v>4</v>
      </c>
      <c r="D186">
        <v>9</v>
      </c>
      <c r="E186" t="s">
        <v>366</v>
      </c>
      <c r="F186" t="s">
        <v>362</v>
      </c>
      <c r="G186" t="s">
        <v>360</v>
      </c>
      <c r="H186" t="str">
        <f>Table2[[#This Row],[item]] &amp; "-" &amp; Table2[[#This Row],[plausibility]] &amp; "-" &amp; Table2[[#This Row],[task]] &amp; "-" &amp; Table2[[#This Row],[n12]]</f>
        <v>9-implausible-articulation-n12</v>
      </c>
    </row>
    <row r="187" spans="1:8" x14ac:dyDescent="0.2">
      <c r="A187">
        <v>3</v>
      </c>
      <c r="B187">
        <v>4</v>
      </c>
      <c r="C187">
        <v>4</v>
      </c>
      <c r="D187">
        <v>12</v>
      </c>
      <c r="E187" t="s">
        <v>366</v>
      </c>
      <c r="F187" t="s">
        <v>363</v>
      </c>
      <c r="G187" t="s">
        <v>364</v>
      </c>
      <c r="H187" t="str">
        <f>Table2[[#This Row],[item]] &amp; "-" &amp; Table2[[#This Row],[plausibility]] &amp; "-" &amp; Table2[[#This Row],[task]] &amp; "-" &amp; Table2[[#This Row],[n12]]</f>
        <v>12-implausible-nosecondary-n21</v>
      </c>
    </row>
    <row r="188" spans="1:8" x14ac:dyDescent="0.2">
      <c r="A188">
        <v>8</v>
      </c>
      <c r="B188">
        <v>4</v>
      </c>
      <c r="C188">
        <v>4</v>
      </c>
      <c r="D188">
        <v>14</v>
      </c>
      <c r="E188" t="s">
        <v>359</v>
      </c>
      <c r="F188" t="s">
        <v>363</v>
      </c>
      <c r="G188" t="s">
        <v>360</v>
      </c>
      <c r="H188" t="str">
        <f>Table2[[#This Row],[item]] &amp; "-" &amp; Table2[[#This Row],[plausibility]] &amp; "-" &amp; Table2[[#This Row],[task]] &amp; "-" &amp; Table2[[#This Row],[n12]]</f>
        <v>14-plausible-nosecondary-n12</v>
      </c>
    </row>
    <row r="189" spans="1:8" x14ac:dyDescent="0.2">
      <c r="A189">
        <v>8</v>
      </c>
      <c r="B189">
        <v>4</v>
      </c>
      <c r="C189">
        <v>4</v>
      </c>
      <c r="D189">
        <v>16</v>
      </c>
      <c r="E189" t="s">
        <v>359</v>
      </c>
      <c r="F189" t="s">
        <v>362</v>
      </c>
      <c r="G189" t="s">
        <v>360</v>
      </c>
      <c r="H189" t="str">
        <f>Table2[[#This Row],[item]] &amp; "-" &amp; Table2[[#This Row],[plausibility]] &amp; "-" &amp; Table2[[#This Row],[task]] &amp; "-" &amp; Table2[[#This Row],[n12]]</f>
        <v>16-plausible-articulation-n12</v>
      </c>
    </row>
    <row r="190" spans="1:8" x14ac:dyDescent="0.2">
      <c r="A190">
        <v>7</v>
      </c>
      <c r="B190">
        <v>4</v>
      </c>
      <c r="C190">
        <v>4</v>
      </c>
      <c r="D190">
        <v>18</v>
      </c>
      <c r="E190" t="s">
        <v>366</v>
      </c>
      <c r="F190" t="s">
        <v>362</v>
      </c>
      <c r="G190" t="s">
        <v>364</v>
      </c>
      <c r="H190" t="str">
        <f>Table2[[#This Row],[item]] &amp; "-" &amp; Table2[[#This Row],[plausibility]] &amp; "-" &amp; Table2[[#This Row],[task]] &amp; "-" &amp; Table2[[#This Row],[n12]]</f>
        <v>18-implausible-articulation-n21</v>
      </c>
    </row>
    <row r="191" spans="1:8" x14ac:dyDescent="0.2">
      <c r="A191">
        <v>3</v>
      </c>
      <c r="B191">
        <v>4</v>
      </c>
      <c r="C191">
        <v>4</v>
      </c>
      <c r="D191">
        <v>20</v>
      </c>
      <c r="E191" t="s">
        <v>366</v>
      </c>
      <c r="F191" t="s">
        <v>363</v>
      </c>
      <c r="G191" t="s">
        <v>364</v>
      </c>
      <c r="H191" t="str">
        <f>Table2[[#This Row],[item]] &amp; "-" &amp; Table2[[#This Row],[plausibility]] &amp; "-" &amp; Table2[[#This Row],[task]] &amp; "-" &amp; Table2[[#This Row],[n12]]</f>
        <v>20-implausible-nosecondary-n21</v>
      </c>
    </row>
    <row r="192" spans="1:8" x14ac:dyDescent="0.2">
      <c r="A192">
        <v>8</v>
      </c>
      <c r="B192">
        <v>4</v>
      </c>
      <c r="C192">
        <v>4</v>
      </c>
      <c r="D192">
        <v>22</v>
      </c>
      <c r="E192" t="s">
        <v>359</v>
      </c>
      <c r="F192" t="s">
        <v>363</v>
      </c>
      <c r="G192" t="s">
        <v>360</v>
      </c>
      <c r="H192" t="str">
        <f>Table2[[#This Row],[item]] &amp; "-" &amp; Table2[[#This Row],[plausibility]] &amp; "-" &amp; Table2[[#This Row],[task]] &amp; "-" &amp; Table2[[#This Row],[n12]]</f>
        <v>22-plausible-nosecondary-n12</v>
      </c>
    </row>
    <row r="193" spans="1:8" s="6" customFormat="1" x14ac:dyDescent="0.2">
      <c r="A193">
        <v>8</v>
      </c>
      <c r="B193" s="6">
        <v>4</v>
      </c>
      <c r="C193" s="6">
        <v>4</v>
      </c>
      <c r="D193">
        <v>24</v>
      </c>
      <c r="E193" t="s">
        <v>359</v>
      </c>
      <c r="F193" t="s">
        <v>362</v>
      </c>
      <c r="G193" t="s">
        <v>360</v>
      </c>
      <c r="H193" s="6" t="str">
        <f>Table2[[#This Row],[item]] &amp; "-" &amp; Table2[[#This Row],[plausibility]] &amp; "-" &amp; Table2[[#This Row],[task]] &amp; "-" &amp; Table2[[#This Row],[n12]]</f>
        <v>24-plausible-articulation-n12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2DE99-DC21-43D5-AC2F-EDE5928F5AA8}">
  <dimension ref="A1:R7"/>
  <sheetViews>
    <sheetView zoomScale="72" zoomScaleNormal="92" workbookViewId="0">
      <pane xSplit="4" topLeftCell="E1" activePane="topRight" state="frozen"/>
      <selection pane="topRight" activeCell="U26" sqref="U26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4" width="13.1640625" style="8" customWidth="1"/>
    <col min="15" max="15" width="15.6640625" style="8" customWidth="1"/>
    <col min="16" max="17" width="25.164062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1001</v>
      </c>
      <c r="B2" t="s">
        <v>742</v>
      </c>
      <c r="C2" t="s">
        <v>363</v>
      </c>
      <c r="D2" t="s">
        <v>742</v>
      </c>
      <c r="E2" t="str">
        <f>1&amp;"-" &amp; B2 &amp; "-" &amp; C2</f>
        <v>1-practice-nosecondary</v>
      </c>
      <c r="F2" t="s">
        <v>744</v>
      </c>
      <c r="G2" t="s">
        <v>745</v>
      </c>
      <c r="H2" t="s">
        <v>747</v>
      </c>
      <c r="I2" t="s">
        <v>746</v>
      </c>
      <c r="J2" t="s">
        <v>748</v>
      </c>
      <c r="K2">
        <v>1</v>
      </c>
      <c r="L2" s="8">
        <v>1.788</v>
      </c>
      <c r="M2" s="8">
        <v>2.1040000000000001</v>
      </c>
      <c r="N2" s="8">
        <v>2</v>
      </c>
      <c r="O2" s="8">
        <v>5</v>
      </c>
      <c r="P2" s="8" t="str">
        <f xml:space="preserve"> "audio/" &amp; $A2 &amp; "_r1.wav"</f>
        <v>audio/1001_r1.wav</v>
      </c>
      <c r="Q2" s="8" t="str">
        <f xml:space="preserve"> "audio/" &amp; $A2 &amp; "_r2.wav"</f>
        <v>audio/1001_r2.wav</v>
      </c>
      <c r="R2" t="str">
        <f>IF(C2 = "articulation", "instruction/articulation.png", "instruction/notask.png")</f>
        <v>instruction/notask.png</v>
      </c>
    </row>
    <row r="3" spans="1:18" x14ac:dyDescent="0.2">
      <c r="A3">
        <v>1002</v>
      </c>
      <c r="B3" t="s">
        <v>742</v>
      </c>
      <c r="C3" t="s">
        <v>362</v>
      </c>
      <c r="D3" t="s">
        <v>742</v>
      </c>
      <c r="E3" t="str">
        <f t="shared" ref="E3:E7" si="0">1&amp;"-" &amp; B3 &amp; "-" &amp; C3</f>
        <v>1-practice-articulation</v>
      </c>
      <c r="F3" t="s">
        <v>749</v>
      </c>
      <c r="G3" t="s">
        <v>750</v>
      </c>
      <c r="H3" t="s">
        <v>751</v>
      </c>
      <c r="I3" t="s">
        <v>752</v>
      </c>
      <c r="J3" t="s">
        <v>753</v>
      </c>
      <c r="K3">
        <v>1</v>
      </c>
      <c r="L3" s="8">
        <v>1.7589999999999999</v>
      </c>
      <c r="M3" s="8">
        <v>1.7789999999999999</v>
      </c>
      <c r="N3" s="8">
        <v>3</v>
      </c>
      <c r="O3" s="8">
        <v>4</v>
      </c>
      <c r="P3" s="8" t="str">
        <f t="shared" ref="P3:P7" si="1" xml:space="preserve"> "audio/" &amp; $A3 &amp; "_r1.wav"</f>
        <v>audio/1002_r1.wav</v>
      </c>
      <c r="Q3" s="8" t="str">
        <f t="shared" ref="Q3:Q7" si="2" xml:space="preserve"> "audio/" &amp; $A3 &amp; "_r2.wav"</f>
        <v>audio/1002_r2.wav</v>
      </c>
      <c r="R3" t="str">
        <f t="shared" ref="R3:R7" si="3">IF(C3 = "articulation", "instruction/articulation.png", "instruction/notask.png")</f>
        <v>instruction/articulation.png</v>
      </c>
    </row>
    <row r="4" spans="1:18" x14ac:dyDescent="0.2">
      <c r="A4">
        <v>1003</v>
      </c>
      <c r="B4" t="s">
        <v>742</v>
      </c>
      <c r="C4" t="s">
        <v>743</v>
      </c>
      <c r="D4" t="s">
        <v>742</v>
      </c>
      <c r="E4" t="str">
        <f t="shared" si="0"/>
        <v>1-practice-articulation</v>
      </c>
      <c r="F4" t="s">
        <v>754</v>
      </c>
      <c r="G4" t="s">
        <v>755</v>
      </c>
      <c r="H4" t="s">
        <v>756</v>
      </c>
      <c r="I4" t="s">
        <v>757</v>
      </c>
      <c r="J4" t="s">
        <v>758</v>
      </c>
      <c r="K4">
        <v>2</v>
      </c>
      <c r="L4" s="8">
        <v>2.04</v>
      </c>
      <c r="M4" s="8">
        <v>1.544</v>
      </c>
      <c r="N4" s="8">
        <v>4</v>
      </c>
      <c r="O4" s="8">
        <v>3</v>
      </c>
      <c r="P4" s="8" t="str">
        <f t="shared" si="1"/>
        <v>audio/1003_r1.wav</v>
      </c>
      <c r="Q4" s="8" t="str">
        <f t="shared" si="2"/>
        <v>audio/1003_r2.wav</v>
      </c>
      <c r="R4" t="str">
        <f t="shared" si="3"/>
        <v>instruction/articulation.png</v>
      </c>
    </row>
    <row r="5" spans="1:18" x14ac:dyDescent="0.2">
      <c r="A5">
        <v>1004</v>
      </c>
      <c r="B5" t="s">
        <v>742</v>
      </c>
      <c r="C5" t="s">
        <v>363</v>
      </c>
      <c r="D5" t="s">
        <v>742</v>
      </c>
      <c r="E5" t="str">
        <f t="shared" si="0"/>
        <v>1-practice-nosecondary</v>
      </c>
      <c r="F5" t="s">
        <v>759</v>
      </c>
      <c r="G5" t="s">
        <v>762</v>
      </c>
      <c r="H5" t="s">
        <v>768</v>
      </c>
      <c r="I5" t="s">
        <v>760</v>
      </c>
      <c r="J5" t="s">
        <v>761</v>
      </c>
      <c r="K5">
        <v>2</v>
      </c>
      <c r="L5" s="8">
        <v>2.27</v>
      </c>
      <c r="M5" s="8">
        <v>1.736</v>
      </c>
      <c r="N5" s="8">
        <v>2</v>
      </c>
      <c r="O5" s="8">
        <v>4</v>
      </c>
      <c r="P5" s="8" t="str">
        <f t="shared" si="1"/>
        <v>audio/1004_r1.wav</v>
      </c>
      <c r="Q5" s="8" t="str">
        <f t="shared" si="2"/>
        <v>audio/1004_r2.wav</v>
      </c>
      <c r="R5" t="str">
        <f t="shared" si="3"/>
        <v>instruction/notask.png</v>
      </c>
    </row>
    <row r="6" spans="1:18" x14ac:dyDescent="0.2">
      <c r="A6">
        <v>1005</v>
      </c>
      <c r="B6" t="s">
        <v>742</v>
      </c>
      <c r="C6" t="s">
        <v>743</v>
      </c>
      <c r="D6" t="s">
        <v>742</v>
      </c>
      <c r="E6" t="str">
        <f t="shared" si="0"/>
        <v>1-practice-articulation</v>
      </c>
      <c r="F6" t="s">
        <v>763</v>
      </c>
      <c r="G6" t="s">
        <v>764</v>
      </c>
      <c r="H6" t="s">
        <v>767</v>
      </c>
      <c r="I6" t="s">
        <v>766</v>
      </c>
      <c r="J6" t="s">
        <v>765</v>
      </c>
      <c r="K6">
        <v>1</v>
      </c>
      <c r="L6" s="8">
        <v>1.663</v>
      </c>
      <c r="M6" s="8">
        <v>1.599</v>
      </c>
      <c r="N6" s="8">
        <v>3</v>
      </c>
      <c r="O6" s="8">
        <v>5</v>
      </c>
      <c r="P6" s="8" t="str">
        <f t="shared" si="1"/>
        <v>audio/1005_r1.wav</v>
      </c>
      <c r="Q6" s="8" t="str">
        <f t="shared" si="2"/>
        <v>audio/1005_r2.wav</v>
      </c>
      <c r="R6" t="str">
        <f t="shared" si="3"/>
        <v>instruction/articulation.png</v>
      </c>
    </row>
    <row r="7" spans="1:18" x14ac:dyDescent="0.2">
      <c r="A7">
        <v>1006</v>
      </c>
      <c r="B7" t="s">
        <v>742</v>
      </c>
      <c r="C7" t="s">
        <v>363</v>
      </c>
      <c r="D7" t="s">
        <v>742</v>
      </c>
      <c r="E7" t="str">
        <f t="shared" si="0"/>
        <v>1-practice-nosecondary</v>
      </c>
      <c r="F7" t="s">
        <v>769</v>
      </c>
      <c r="G7" t="s">
        <v>770</v>
      </c>
      <c r="H7" t="s">
        <v>771</v>
      </c>
      <c r="I7" t="s">
        <v>772</v>
      </c>
      <c r="J7" t="s">
        <v>773</v>
      </c>
      <c r="K7">
        <v>2</v>
      </c>
      <c r="L7" s="8">
        <v>2.11</v>
      </c>
      <c r="M7" s="8">
        <v>1.86</v>
      </c>
      <c r="N7" s="8">
        <v>4</v>
      </c>
      <c r="O7" s="8">
        <v>3</v>
      </c>
      <c r="P7" s="8" t="str">
        <f t="shared" si="1"/>
        <v>audio/1006_r1.wav</v>
      </c>
      <c r="Q7" s="8" t="str">
        <f t="shared" si="2"/>
        <v>audio/1006_r2.wav</v>
      </c>
      <c r="R7" t="str">
        <f t="shared" si="3"/>
        <v>instruction/notask.png</v>
      </c>
    </row>
  </sheetData>
  <phoneticPr fontId="4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3A825-C8E3-4190-A79E-90151FC4AD85}">
  <dimension ref="A1:R25"/>
  <sheetViews>
    <sheetView zoomScale="72" zoomScaleNormal="92" workbookViewId="0">
      <pane xSplit="4" topLeftCell="H1" activePane="topRight" state="frozen"/>
      <selection pane="topRight" activeCell="K5" sqref="K5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3" width="13.1640625" style="8" customWidth="1"/>
    <col min="14" max="14" width="15.6640625" style="8" customWidth="1"/>
    <col min="15" max="15" width="11.6640625" style="8" customWidth="1"/>
    <col min="16" max="16" width="25.1640625" customWidth="1"/>
    <col min="17" max="17" width="25.3320312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2</v>
      </c>
      <c r="B2" t="s">
        <v>366</v>
      </c>
      <c r="C2" t="s">
        <v>362</v>
      </c>
      <c r="D2" t="s">
        <v>364</v>
      </c>
      <c r="E2" t="s">
        <v>910</v>
      </c>
      <c r="F2" t="s">
        <v>645</v>
      </c>
      <c r="G2" t="s">
        <v>488</v>
      </c>
      <c r="H2" t="s">
        <v>489</v>
      </c>
      <c r="I2" t="s">
        <v>8</v>
      </c>
      <c r="J2" t="s">
        <v>5</v>
      </c>
      <c r="K2">
        <v>1</v>
      </c>
      <c r="L2" s="8">
        <v>1.89</v>
      </c>
      <c r="M2" s="8">
        <v>2.0489999999999999</v>
      </c>
      <c r="N2" s="8">
        <v>2</v>
      </c>
      <c r="O2" s="8">
        <v>6</v>
      </c>
      <c r="P2" s="8" t="s">
        <v>646</v>
      </c>
      <c r="Q2" s="8" t="s">
        <v>491</v>
      </c>
      <c r="R2" t="str">
        <f>IF(C2 = "articulation", "instruction/articulation.png", "instruction/notask.png")</f>
        <v>instruction/articulation.png</v>
      </c>
    </row>
    <row r="3" spans="1:18" x14ac:dyDescent="0.2">
      <c r="A3">
        <v>3</v>
      </c>
      <c r="B3" t="s">
        <v>366</v>
      </c>
      <c r="C3" t="s">
        <v>363</v>
      </c>
      <c r="D3" t="s">
        <v>360</v>
      </c>
      <c r="E3" t="s">
        <v>911</v>
      </c>
      <c r="F3" t="s">
        <v>647</v>
      </c>
      <c r="G3" t="s">
        <v>493</v>
      </c>
      <c r="H3" t="s">
        <v>494</v>
      </c>
      <c r="I3" t="s">
        <v>7</v>
      </c>
      <c r="J3" t="s">
        <v>6</v>
      </c>
      <c r="K3">
        <v>2</v>
      </c>
      <c r="L3" s="8">
        <v>1.579</v>
      </c>
      <c r="M3" s="8">
        <v>2.069</v>
      </c>
      <c r="N3" s="8">
        <v>3</v>
      </c>
      <c r="O3" s="8">
        <v>5</v>
      </c>
      <c r="P3" s="8" t="s">
        <v>648</v>
      </c>
      <c r="Q3" s="8" t="s">
        <v>496</v>
      </c>
      <c r="R3" t="str">
        <f t="shared" ref="R3:R25" si="0">IF(C3 = "articulation", "instruction/articulation.png", "instruction/notask.png")</f>
        <v>instruction/notask.png</v>
      </c>
    </row>
    <row r="4" spans="1:18" x14ac:dyDescent="0.2">
      <c r="A4">
        <v>5</v>
      </c>
      <c r="B4" t="s">
        <v>359</v>
      </c>
      <c r="C4" t="s">
        <v>363</v>
      </c>
      <c r="D4" t="s">
        <v>364</v>
      </c>
      <c r="E4" t="s">
        <v>912</v>
      </c>
      <c r="F4" t="s">
        <v>649</v>
      </c>
      <c r="G4" t="s">
        <v>498</v>
      </c>
      <c r="H4" t="s">
        <v>499</v>
      </c>
      <c r="I4" t="s">
        <v>12</v>
      </c>
      <c r="J4" t="s">
        <v>13</v>
      </c>
      <c r="K4">
        <v>1</v>
      </c>
      <c r="L4" s="8">
        <v>1.7529999999999999</v>
      </c>
      <c r="M4" s="8">
        <v>2.0750000000000002</v>
      </c>
      <c r="N4" s="8">
        <v>4</v>
      </c>
      <c r="O4" s="8">
        <v>4</v>
      </c>
      <c r="P4" s="8" t="s">
        <v>650</v>
      </c>
      <c r="Q4" s="8" t="s">
        <v>501</v>
      </c>
      <c r="R4" t="str">
        <f t="shared" si="0"/>
        <v>instruction/notask.png</v>
      </c>
    </row>
    <row r="5" spans="1:18" x14ac:dyDescent="0.2">
      <c r="A5">
        <v>7</v>
      </c>
      <c r="B5" t="s">
        <v>359</v>
      </c>
      <c r="C5" t="s">
        <v>362</v>
      </c>
      <c r="D5" t="s">
        <v>364</v>
      </c>
      <c r="E5" t="s">
        <v>913</v>
      </c>
      <c r="F5" t="s">
        <v>651</v>
      </c>
      <c r="G5" t="s">
        <v>503</v>
      </c>
      <c r="H5" t="s">
        <v>504</v>
      </c>
      <c r="I5" t="s">
        <v>22</v>
      </c>
      <c r="J5" t="s">
        <v>20</v>
      </c>
      <c r="K5">
        <v>1</v>
      </c>
      <c r="L5" s="8">
        <v>1.91</v>
      </c>
      <c r="M5" s="8">
        <v>2.395</v>
      </c>
      <c r="N5" s="8">
        <v>2</v>
      </c>
      <c r="O5" s="8">
        <v>3</v>
      </c>
      <c r="P5" s="8" t="s">
        <v>652</v>
      </c>
      <c r="Q5" s="8" t="s">
        <v>506</v>
      </c>
      <c r="R5" t="str">
        <f t="shared" si="0"/>
        <v>instruction/articulation.png</v>
      </c>
    </row>
    <row r="6" spans="1:18" x14ac:dyDescent="0.2">
      <c r="A6">
        <v>9</v>
      </c>
      <c r="B6" t="s">
        <v>366</v>
      </c>
      <c r="C6" t="s">
        <v>362</v>
      </c>
      <c r="D6" t="s">
        <v>360</v>
      </c>
      <c r="E6" t="s">
        <v>914</v>
      </c>
      <c r="F6" t="s">
        <v>653</v>
      </c>
      <c r="G6" t="s">
        <v>508</v>
      </c>
      <c r="H6" t="s">
        <v>509</v>
      </c>
      <c r="I6" t="s">
        <v>59</v>
      </c>
      <c r="J6" t="s">
        <v>60</v>
      </c>
      <c r="K6">
        <v>2</v>
      </c>
      <c r="L6" s="8">
        <v>1.7150000000000001</v>
      </c>
      <c r="M6" s="8">
        <v>2.165</v>
      </c>
      <c r="N6" s="8">
        <v>3</v>
      </c>
      <c r="O6" s="8">
        <v>6</v>
      </c>
      <c r="P6" s="8" t="s">
        <v>654</v>
      </c>
      <c r="Q6" s="8" t="s">
        <v>511</v>
      </c>
      <c r="R6" t="str">
        <f t="shared" si="0"/>
        <v>instruction/articulation.png</v>
      </c>
    </row>
    <row r="7" spans="1:18" x14ac:dyDescent="0.2">
      <c r="A7">
        <v>12</v>
      </c>
      <c r="B7" t="s">
        <v>366</v>
      </c>
      <c r="C7" t="s">
        <v>363</v>
      </c>
      <c r="D7" t="s">
        <v>364</v>
      </c>
      <c r="E7" t="s">
        <v>915</v>
      </c>
      <c r="F7" t="s">
        <v>655</v>
      </c>
      <c r="G7" t="s">
        <v>513</v>
      </c>
      <c r="H7" t="s">
        <v>514</v>
      </c>
      <c r="I7" t="s">
        <v>33</v>
      </c>
      <c r="J7" t="s">
        <v>32</v>
      </c>
      <c r="K7">
        <v>1</v>
      </c>
      <c r="L7" s="8">
        <v>1.9710000000000001</v>
      </c>
      <c r="M7" s="8">
        <v>1.98</v>
      </c>
      <c r="N7" s="8">
        <v>4</v>
      </c>
      <c r="O7" s="8">
        <v>5</v>
      </c>
      <c r="P7" s="8" t="s">
        <v>656</v>
      </c>
      <c r="Q7" s="8" t="s">
        <v>516</v>
      </c>
      <c r="R7" t="str">
        <f t="shared" si="0"/>
        <v>instruction/notask.png</v>
      </c>
    </row>
    <row r="8" spans="1:18" x14ac:dyDescent="0.2">
      <c r="A8">
        <v>14</v>
      </c>
      <c r="B8" t="s">
        <v>359</v>
      </c>
      <c r="C8" t="s">
        <v>363</v>
      </c>
      <c r="D8" t="s">
        <v>360</v>
      </c>
      <c r="E8" t="s">
        <v>916</v>
      </c>
      <c r="F8" t="s">
        <v>657</v>
      </c>
      <c r="G8" t="s">
        <v>518</v>
      </c>
      <c r="H8" t="s">
        <v>519</v>
      </c>
      <c r="I8" t="s">
        <v>55</v>
      </c>
      <c r="J8" t="s">
        <v>54</v>
      </c>
      <c r="K8">
        <v>2</v>
      </c>
      <c r="L8" s="8">
        <v>1.663</v>
      </c>
      <c r="M8" s="8">
        <v>2.194</v>
      </c>
      <c r="N8" s="8">
        <v>2</v>
      </c>
      <c r="O8" s="8">
        <v>4</v>
      </c>
      <c r="P8" s="8" t="s">
        <v>658</v>
      </c>
      <c r="Q8" s="8" t="s">
        <v>521</v>
      </c>
      <c r="R8" t="str">
        <f t="shared" si="0"/>
        <v>instruction/notask.png</v>
      </c>
    </row>
    <row r="9" spans="1:18" x14ac:dyDescent="0.2">
      <c r="A9">
        <v>16</v>
      </c>
      <c r="B9" t="s">
        <v>359</v>
      </c>
      <c r="C9" t="s">
        <v>362</v>
      </c>
      <c r="D9" t="s">
        <v>360</v>
      </c>
      <c r="E9" t="s">
        <v>917</v>
      </c>
      <c r="F9" t="s">
        <v>659</v>
      </c>
      <c r="G9" t="s">
        <v>523</v>
      </c>
      <c r="H9" t="s">
        <v>524</v>
      </c>
      <c r="I9" t="s">
        <v>50</v>
      </c>
      <c r="J9" t="s">
        <v>49</v>
      </c>
      <c r="K9">
        <v>2</v>
      </c>
      <c r="L9" s="8">
        <v>1.405</v>
      </c>
      <c r="M9" s="8">
        <v>2.02</v>
      </c>
      <c r="N9" s="8">
        <v>3</v>
      </c>
      <c r="O9" s="8">
        <v>3</v>
      </c>
      <c r="P9" s="8" t="s">
        <v>660</v>
      </c>
      <c r="Q9" s="8" t="s">
        <v>526</v>
      </c>
      <c r="R9" t="str">
        <f t="shared" si="0"/>
        <v>instruction/articulation.png</v>
      </c>
    </row>
    <row r="10" spans="1:18" x14ac:dyDescent="0.2">
      <c r="A10">
        <v>18</v>
      </c>
      <c r="B10" t="s">
        <v>366</v>
      </c>
      <c r="C10" t="s">
        <v>362</v>
      </c>
      <c r="D10" t="s">
        <v>364</v>
      </c>
      <c r="E10" t="s">
        <v>918</v>
      </c>
      <c r="F10" t="s">
        <v>661</v>
      </c>
      <c r="G10" t="s">
        <v>528</v>
      </c>
      <c r="H10" t="s">
        <v>529</v>
      </c>
      <c r="I10" t="s">
        <v>38</v>
      </c>
      <c r="J10" t="s">
        <v>37</v>
      </c>
      <c r="K10">
        <v>1</v>
      </c>
      <c r="L10" s="8">
        <v>1.736</v>
      </c>
      <c r="M10" s="8">
        <v>2.4900000000000002</v>
      </c>
      <c r="N10" s="8">
        <v>4</v>
      </c>
      <c r="O10" s="8">
        <v>6</v>
      </c>
      <c r="P10" s="8" t="s">
        <v>662</v>
      </c>
      <c r="Q10" s="8" t="s">
        <v>531</v>
      </c>
      <c r="R10" t="str">
        <f t="shared" si="0"/>
        <v>instruction/articulation.png</v>
      </c>
    </row>
    <row r="11" spans="1:18" x14ac:dyDescent="0.2">
      <c r="A11">
        <v>20</v>
      </c>
      <c r="B11" t="s">
        <v>366</v>
      </c>
      <c r="C11" t="s">
        <v>363</v>
      </c>
      <c r="D11" t="s">
        <v>364</v>
      </c>
      <c r="E11" t="s">
        <v>919</v>
      </c>
      <c r="F11" t="s">
        <v>663</v>
      </c>
      <c r="G11" t="s">
        <v>533</v>
      </c>
      <c r="H11" t="s">
        <v>534</v>
      </c>
      <c r="I11" t="s">
        <v>44</v>
      </c>
      <c r="J11" t="s">
        <v>47</v>
      </c>
      <c r="K11">
        <v>1</v>
      </c>
      <c r="L11" s="8">
        <v>1.84</v>
      </c>
      <c r="M11" s="8">
        <v>2.331</v>
      </c>
      <c r="N11" s="8">
        <v>2</v>
      </c>
      <c r="O11" s="8">
        <v>5</v>
      </c>
      <c r="P11" s="8" t="s">
        <v>664</v>
      </c>
      <c r="Q11" s="8" t="s">
        <v>536</v>
      </c>
      <c r="R11" t="str">
        <f t="shared" si="0"/>
        <v>instruction/notask.png</v>
      </c>
    </row>
    <row r="12" spans="1:18" x14ac:dyDescent="0.2">
      <c r="A12">
        <v>22</v>
      </c>
      <c r="B12" t="s">
        <v>359</v>
      </c>
      <c r="C12" t="s">
        <v>363</v>
      </c>
      <c r="D12" t="s">
        <v>360</v>
      </c>
      <c r="E12" t="s">
        <v>920</v>
      </c>
      <c r="F12" t="s">
        <v>665</v>
      </c>
      <c r="G12" t="s">
        <v>538</v>
      </c>
      <c r="H12" t="s">
        <v>539</v>
      </c>
      <c r="I12" t="s">
        <v>66</v>
      </c>
      <c r="J12" t="s">
        <v>65</v>
      </c>
      <c r="K12">
        <v>2</v>
      </c>
      <c r="L12" s="8">
        <v>1.718</v>
      </c>
      <c r="M12" s="8">
        <v>2.2839999999999998</v>
      </c>
      <c r="N12" s="8">
        <v>3</v>
      </c>
      <c r="O12" s="8">
        <v>4</v>
      </c>
      <c r="P12" s="8" t="s">
        <v>666</v>
      </c>
      <c r="Q12" s="8" t="s">
        <v>541</v>
      </c>
      <c r="R12" t="str">
        <f t="shared" si="0"/>
        <v>instruction/notask.png</v>
      </c>
    </row>
    <row r="13" spans="1:18" x14ac:dyDescent="0.2">
      <c r="A13">
        <v>24</v>
      </c>
      <c r="B13" t="s">
        <v>359</v>
      </c>
      <c r="C13" t="s">
        <v>362</v>
      </c>
      <c r="D13" t="s">
        <v>360</v>
      </c>
      <c r="E13" t="s">
        <v>921</v>
      </c>
      <c r="F13" t="s">
        <v>667</v>
      </c>
      <c r="G13" t="s">
        <v>543</v>
      </c>
      <c r="H13" t="s">
        <v>544</v>
      </c>
      <c r="I13" t="s">
        <v>73</v>
      </c>
      <c r="J13" t="s">
        <v>71</v>
      </c>
      <c r="K13">
        <v>2</v>
      </c>
      <c r="L13" s="8">
        <v>1.5009999999999999</v>
      </c>
      <c r="M13" s="8">
        <v>2.3540000000000001</v>
      </c>
      <c r="N13" s="8">
        <v>4</v>
      </c>
      <c r="O13" s="8">
        <v>3</v>
      </c>
      <c r="P13" s="8" t="s">
        <v>668</v>
      </c>
      <c r="Q13" s="8" t="s">
        <v>546</v>
      </c>
      <c r="R13" t="str">
        <f t="shared" si="0"/>
        <v>instruction/articulation.png</v>
      </c>
    </row>
    <row r="14" spans="1:18" x14ac:dyDescent="0.2">
      <c r="A14">
        <v>110</v>
      </c>
      <c r="B14" t="s">
        <v>388</v>
      </c>
      <c r="C14" t="s">
        <v>363</v>
      </c>
      <c r="D14" t="s">
        <v>388</v>
      </c>
      <c r="E14" t="s">
        <v>730</v>
      </c>
      <c r="F14" t="s">
        <v>161</v>
      </c>
      <c r="G14" t="s">
        <v>245</v>
      </c>
      <c r="H14" t="s">
        <v>162</v>
      </c>
      <c r="I14" t="s">
        <v>164</v>
      </c>
      <c r="J14" t="s">
        <v>246</v>
      </c>
      <c r="K14">
        <v>2</v>
      </c>
      <c r="L14" s="8">
        <v>1.8080000000000001</v>
      </c>
      <c r="M14" s="8">
        <v>2.02</v>
      </c>
      <c r="N14" s="8">
        <v>2</v>
      </c>
      <c r="O14" s="8">
        <v>6</v>
      </c>
      <c r="P14" s="8" t="s">
        <v>670</v>
      </c>
      <c r="Q14" s="8" t="s">
        <v>671</v>
      </c>
      <c r="R14" t="str">
        <f t="shared" si="0"/>
        <v>instruction/notask.png</v>
      </c>
    </row>
    <row r="15" spans="1:18" x14ac:dyDescent="0.2">
      <c r="A15">
        <v>111</v>
      </c>
      <c r="B15" t="s">
        <v>388</v>
      </c>
      <c r="C15" t="s">
        <v>362</v>
      </c>
      <c r="D15" t="s">
        <v>388</v>
      </c>
      <c r="E15" t="s">
        <v>731</v>
      </c>
      <c r="F15" t="s">
        <v>170</v>
      </c>
      <c r="G15" t="s">
        <v>171</v>
      </c>
      <c r="H15" t="s">
        <v>173</v>
      </c>
      <c r="I15" t="s">
        <v>172</v>
      </c>
      <c r="J15" t="s">
        <v>174</v>
      </c>
      <c r="K15">
        <v>1</v>
      </c>
      <c r="L15" s="8">
        <v>1.9850000000000001</v>
      </c>
      <c r="M15" s="8">
        <v>1.9159999999999999</v>
      </c>
      <c r="N15" s="8">
        <v>3</v>
      </c>
      <c r="O15" s="8">
        <v>5</v>
      </c>
      <c r="P15" s="8" t="s">
        <v>672</v>
      </c>
      <c r="Q15" s="8" t="s">
        <v>673</v>
      </c>
      <c r="R15" t="str">
        <f t="shared" si="0"/>
        <v>instruction/articulation.png</v>
      </c>
    </row>
    <row r="16" spans="1:18" x14ac:dyDescent="0.2">
      <c r="A16">
        <v>112</v>
      </c>
      <c r="B16" t="s">
        <v>388</v>
      </c>
      <c r="C16" t="s">
        <v>363</v>
      </c>
      <c r="D16" t="s">
        <v>388</v>
      </c>
      <c r="E16" t="s">
        <v>732</v>
      </c>
      <c r="F16" t="s">
        <v>176</v>
      </c>
      <c r="G16" t="s">
        <v>177</v>
      </c>
      <c r="H16" t="s">
        <v>181</v>
      </c>
      <c r="I16" t="s">
        <v>182</v>
      </c>
      <c r="J16" t="s">
        <v>183</v>
      </c>
      <c r="K16">
        <v>2</v>
      </c>
      <c r="L16" s="8">
        <v>2.456</v>
      </c>
      <c r="M16" s="8">
        <v>1.8140000000000001</v>
      </c>
      <c r="N16" s="8">
        <v>4</v>
      </c>
      <c r="O16" s="8">
        <v>4</v>
      </c>
      <c r="P16" s="8" t="s">
        <v>674</v>
      </c>
      <c r="Q16" s="8" t="s">
        <v>675</v>
      </c>
      <c r="R16" t="str">
        <f t="shared" si="0"/>
        <v>instruction/notask.png</v>
      </c>
    </row>
    <row r="17" spans="1:18" x14ac:dyDescent="0.2">
      <c r="A17">
        <v>119</v>
      </c>
      <c r="B17" t="s">
        <v>388</v>
      </c>
      <c r="C17" t="s">
        <v>362</v>
      </c>
      <c r="D17" t="s">
        <v>388</v>
      </c>
      <c r="E17" t="s">
        <v>733</v>
      </c>
      <c r="F17" t="s">
        <v>239</v>
      </c>
      <c r="G17" t="s">
        <v>237</v>
      </c>
      <c r="H17" t="s">
        <v>669</v>
      </c>
      <c r="I17" t="s">
        <v>238</v>
      </c>
      <c r="J17" t="s">
        <v>194</v>
      </c>
      <c r="K17">
        <v>1</v>
      </c>
      <c r="L17" s="8">
        <v>2.145</v>
      </c>
      <c r="M17" s="8">
        <v>1.46</v>
      </c>
      <c r="N17" s="8">
        <v>2</v>
      </c>
      <c r="O17" s="8">
        <v>3</v>
      </c>
      <c r="P17" s="8" t="s">
        <v>676</v>
      </c>
      <c r="Q17" s="8" t="s">
        <v>677</v>
      </c>
      <c r="R17" t="str">
        <f t="shared" si="0"/>
        <v>instruction/articulation.png</v>
      </c>
    </row>
    <row r="18" spans="1:18" x14ac:dyDescent="0.2">
      <c r="A18">
        <v>120</v>
      </c>
      <c r="B18" t="s">
        <v>388</v>
      </c>
      <c r="C18" t="s">
        <v>363</v>
      </c>
      <c r="D18" t="s">
        <v>388</v>
      </c>
      <c r="E18" t="s">
        <v>734</v>
      </c>
      <c r="F18" t="s">
        <v>305</v>
      </c>
      <c r="G18" t="s">
        <v>306</v>
      </c>
      <c r="H18" t="s">
        <v>210</v>
      </c>
      <c r="I18" t="s">
        <v>211</v>
      </c>
      <c r="J18" t="s">
        <v>212</v>
      </c>
      <c r="K18">
        <v>2</v>
      </c>
      <c r="L18" s="8">
        <v>1.7729999999999999</v>
      </c>
      <c r="M18" s="8">
        <v>1.974</v>
      </c>
      <c r="N18" s="8">
        <v>3</v>
      </c>
      <c r="O18" s="8">
        <v>6</v>
      </c>
      <c r="P18" s="8" t="s">
        <v>678</v>
      </c>
      <c r="Q18" s="8" t="s">
        <v>679</v>
      </c>
      <c r="R18" t="str">
        <f t="shared" si="0"/>
        <v>instruction/notask.png</v>
      </c>
    </row>
    <row r="19" spans="1:18" x14ac:dyDescent="0.2">
      <c r="A19">
        <v>121</v>
      </c>
      <c r="B19" t="s">
        <v>388</v>
      </c>
      <c r="C19" t="s">
        <v>362</v>
      </c>
      <c r="D19" t="s">
        <v>388</v>
      </c>
      <c r="E19" t="s">
        <v>735</v>
      </c>
      <c r="F19" t="s">
        <v>240</v>
      </c>
      <c r="G19" t="s">
        <v>223</v>
      </c>
      <c r="H19" t="s">
        <v>241</v>
      </c>
      <c r="I19" t="s">
        <v>199</v>
      </c>
      <c r="J19" t="s">
        <v>153</v>
      </c>
      <c r="K19">
        <v>1</v>
      </c>
      <c r="L19" s="8">
        <v>2.0089999999999999</v>
      </c>
      <c r="M19" s="8">
        <v>2.0230000000000001</v>
      </c>
      <c r="N19" s="8">
        <v>4</v>
      </c>
      <c r="O19" s="8">
        <v>5</v>
      </c>
      <c r="P19" s="8" t="s">
        <v>680</v>
      </c>
      <c r="Q19" s="8" t="s">
        <v>681</v>
      </c>
      <c r="R19" t="str">
        <f t="shared" si="0"/>
        <v>instruction/articulation.png</v>
      </c>
    </row>
    <row r="20" spans="1:18" x14ac:dyDescent="0.2">
      <c r="A20">
        <v>134</v>
      </c>
      <c r="B20" t="s">
        <v>388</v>
      </c>
      <c r="C20" t="s">
        <v>363</v>
      </c>
      <c r="D20" t="s">
        <v>388</v>
      </c>
      <c r="E20" t="s">
        <v>736</v>
      </c>
      <c r="F20" t="s">
        <v>300</v>
      </c>
      <c r="G20" t="s">
        <v>301</v>
      </c>
      <c r="H20" t="s">
        <v>302</v>
      </c>
      <c r="I20" t="s">
        <v>304</v>
      </c>
      <c r="J20" t="s">
        <v>303</v>
      </c>
      <c r="K20">
        <v>2</v>
      </c>
      <c r="L20" s="8">
        <v>2.0289999999999999</v>
      </c>
      <c r="M20" s="8">
        <v>2.11</v>
      </c>
      <c r="N20" s="8">
        <v>2</v>
      </c>
      <c r="O20" s="8">
        <v>4</v>
      </c>
      <c r="P20" s="8" t="s">
        <v>682</v>
      </c>
      <c r="Q20" s="8" t="s">
        <v>683</v>
      </c>
      <c r="R20" t="str">
        <f t="shared" si="0"/>
        <v>instruction/notask.png</v>
      </c>
    </row>
    <row r="21" spans="1:18" x14ac:dyDescent="0.2">
      <c r="A21">
        <v>135</v>
      </c>
      <c r="B21" t="s">
        <v>388</v>
      </c>
      <c r="C21" t="s">
        <v>362</v>
      </c>
      <c r="D21" t="s">
        <v>388</v>
      </c>
      <c r="E21" t="s">
        <v>737</v>
      </c>
      <c r="F21" t="s">
        <v>280</v>
      </c>
      <c r="G21" t="s">
        <v>281</v>
      </c>
      <c r="H21" t="s">
        <v>279</v>
      </c>
      <c r="I21" t="s">
        <v>284</v>
      </c>
      <c r="J21" t="s">
        <v>283</v>
      </c>
      <c r="K21">
        <v>1</v>
      </c>
      <c r="L21" s="8">
        <v>2.2090000000000001</v>
      </c>
      <c r="M21" s="8">
        <v>1.91</v>
      </c>
      <c r="N21" s="8">
        <v>3</v>
      </c>
      <c r="O21" s="8">
        <v>3</v>
      </c>
      <c r="P21" s="8" t="s">
        <v>684</v>
      </c>
      <c r="Q21" s="8" t="s">
        <v>685</v>
      </c>
      <c r="R21" t="str">
        <f t="shared" si="0"/>
        <v>instruction/articulation.png</v>
      </c>
    </row>
    <row r="22" spans="1:18" x14ac:dyDescent="0.2">
      <c r="A22">
        <v>136</v>
      </c>
      <c r="B22" t="s">
        <v>388</v>
      </c>
      <c r="C22" t="s">
        <v>363</v>
      </c>
      <c r="D22" t="s">
        <v>388</v>
      </c>
      <c r="E22" t="s">
        <v>738</v>
      </c>
      <c r="F22" t="s">
        <v>292</v>
      </c>
      <c r="G22" t="s">
        <v>293</v>
      </c>
      <c r="H22" t="s">
        <v>287</v>
      </c>
      <c r="I22" t="s">
        <v>294</v>
      </c>
      <c r="J22" t="s">
        <v>295</v>
      </c>
      <c r="K22">
        <v>2</v>
      </c>
      <c r="L22" s="8">
        <v>2.194</v>
      </c>
      <c r="M22" s="8">
        <v>1.7589999999999999</v>
      </c>
      <c r="N22" s="8">
        <v>4</v>
      </c>
      <c r="O22" s="8">
        <v>6</v>
      </c>
      <c r="P22" s="8" t="s">
        <v>686</v>
      </c>
      <c r="Q22" s="8" t="s">
        <v>687</v>
      </c>
      <c r="R22" t="str">
        <f t="shared" si="0"/>
        <v>instruction/notask.png</v>
      </c>
    </row>
    <row r="23" spans="1:18" x14ac:dyDescent="0.2">
      <c r="A23">
        <v>143</v>
      </c>
      <c r="B23" t="s">
        <v>388</v>
      </c>
      <c r="C23" t="s">
        <v>362</v>
      </c>
      <c r="D23" t="s">
        <v>388</v>
      </c>
      <c r="E23" t="s">
        <v>739</v>
      </c>
      <c r="F23" t="s">
        <v>314</v>
      </c>
      <c r="G23" t="s">
        <v>310</v>
      </c>
      <c r="H23" t="s">
        <v>315</v>
      </c>
      <c r="I23" t="s">
        <v>313</v>
      </c>
      <c r="J23" t="s">
        <v>312</v>
      </c>
      <c r="K23">
        <v>1</v>
      </c>
      <c r="L23" s="8">
        <v>2.0840000000000001</v>
      </c>
      <c r="M23" s="8">
        <v>1.5149999999999999</v>
      </c>
      <c r="N23" s="8">
        <v>2</v>
      </c>
      <c r="O23" s="8">
        <v>5</v>
      </c>
      <c r="P23" s="8" t="s">
        <v>688</v>
      </c>
      <c r="Q23" s="8" t="s">
        <v>689</v>
      </c>
      <c r="R23" t="str">
        <f t="shared" si="0"/>
        <v>instruction/articulation.png</v>
      </c>
    </row>
    <row r="24" spans="1:18" x14ac:dyDescent="0.2">
      <c r="A24">
        <v>144</v>
      </c>
      <c r="B24" t="s">
        <v>388</v>
      </c>
      <c r="C24" t="s">
        <v>363</v>
      </c>
      <c r="D24" t="s">
        <v>388</v>
      </c>
      <c r="E24" t="s">
        <v>740</v>
      </c>
      <c r="F24" t="s">
        <v>320</v>
      </c>
      <c r="G24" t="s">
        <v>321</v>
      </c>
      <c r="H24" t="s">
        <v>323</v>
      </c>
      <c r="I24" t="s">
        <v>318</v>
      </c>
      <c r="J24" t="s">
        <v>324</v>
      </c>
      <c r="K24">
        <v>2</v>
      </c>
      <c r="L24" s="8">
        <v>1.98</v>
      </c>
      <c r="M24" s="8">
        <v>1.8049999999999999</v>
      </c>
      <c r="N24" s="8">
        <v>3</v>
      </c>
      <c r="O24" s="8">
        <v>4</v>
      </c>
      <c r="P24" s="8" t="s">
        <v>690</v>
      </c>
      <c r="Q24" s="8" t="s">
        <v>691</v>
      </c>
      <c r="R24" t="str">
        <f t="shared" si="0"/>
        <v>instruction/notask.png</v>
      </c>
    </row>
    <row r="25" spans="1:18" x14ac:dyDescent="0.2">
      <c r="A25">
        <v>145</v>
      </c>
      <c r="B25" t="s">
        <v>388</v>
      </c>
      <c r="C25" t="s">
        <v>362</v>
      </c>
      <c r="D25" t="s">
        <v>388</v>
      </c>
      <c r="E25" t="s">
        <v>741</v>
      </c>
      <c r="F25" t="s">
        <v>425</v>
      </c>
      <c r="G25" t="s">
        <v>355</v>
      </c>
      <c r="H25" t="s">
        <v>356</v>
      </c>
      <c r="I25" t="s">
        <v>353</v>
      </c>
      <c r="J25" t="s">
        <v>352</v>
      </c>
      <c r="K25">
        <v>1</v>
      </c>
      <c r="L25" s="8">
        <v>1.9530000000000001</v>
      </c>
      <c r="M25" s="8">
        <v>2.11</v>
      </c>
      <c r="N25" s="8">
        <v>4</v>
      </c>
      <c r="O25" s="8">
        <v>3</v>
      </c>
      <c r="P25" s="8" t="s">
        <v>692</v>
      </c>
      <c r="Q25" s="8" t="s">
        <v>693</v>
      </c>
      <c r="R25" t="str">
        <f t="shared" si="0"/>
        <v>instruction/articulation.png</v>
      </c>
    </row>
  </sheetData>
  <phoneticPr fontId="4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0364C-D500-4739-9C8C-A7CEA657A1A1}">
  <dimension ref="A1:R25"/>
  <sheetViews>
    <sheetView zoomScale="72" zoomScaleNormal="92" workbookViewId="0">
      <pane xSplit="4" topLeftCell="H1" activePane="topRight" state="frozen"/>
      <selection pane="topRight" activeCell="O2" sqref="O2:O25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3" width="13.1640625" style="8" customWidth="1"/>
    <col min="14" max="14" width="15.6640625" style="8" customWidth="1"/>
    <col min="15" max="15" width="11.6640625" style="8" customWidth="1"/>
    <col min="16" max="16" width="25.1640625" customWidth="1"/>
    <col min="17" max="17" width="25.3320312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1</v>
      </c>
      <c r="B2" t="s">
        <v>366</v>
      </c>
      <c r="C2" t="s">
        <v>362</v>
      </c>
      <c r="D2" t="s">
        <v>360</v>
      </c>
      <c r="E2" t="s">
        <v>898</v>
      </c>
      <c r="F2" t="s">
        <v>583</v>
      </c>
      <c r="G2" t="s">
        <v>390</v>
      </c>
      <c r="H2" t="s">
        <v>391</v>
      </c>
      <c r="I2" t="s">
        <v>0</v>
      </c>
      <c r="J2" t="s">
        <v>2</v>
      </c>
      <c r="K2">
        <v>2</v>
      </c>
      <c r="L2" s="8">
        <v>1.724</v>
      </c>
      <c r="M2" s="8">
        <v>2.3250000000000002</v>
      </c>
      <c r="N2" s="8">
        <v>2</v>
      </c>
      <c r="O2" s="8">
        <v>6</v>
      </c>
      <c r="P2" s="8" t="s">
        <v>584</v>
      </c>
      <c r="Q2" s="8" t="s">
        <v>463</v>
      </c>
      <c r="R2" t="str">
        <f>IF(C2 = "articulation", "instruction/articulation.png", "instruction/notask.png")</f>
        <v>instruction/articulation.png</v>
      </c>
    </row>
    <row r="3" spans="1:18" x14ac:dyDescent="0.2">
      <c r="A3">
        <v>4</v>
      </c>
      <c r="B3" t="s">
        <v>366</v>
      </c>
      <c r="C3" t="s">
        <v>363</v>
      </c>
      <c r="D3" t="s">
        <v>364</v>
      </c>
      <c r="E3" t="s">
        <v>899</v>
      </c>
      <c r="F3" t="s">
        <v>585</v>
      </c>
      <c r="G3" t="s">
        <v>393</v>
      </c>
      <c r="H3" t="s">
        <v>394</v>
      </c>
      <c r="I3" t="s">
        <v>10</v>
      </c>
      <c r="J3" t="s">
        <v>53</v>
      </c>
      <c r="K3">
        <v>1</v>
      </c>
      <c r="L3" s="8">
        <v>1.5089999999999999</v>
      </c>
      <c r="M3" s="8">
        <v>2.601</v>
      </c>
      <c r="N3" s="8">
        <v>3</v>
      </c>
      <c r="O3" s="8">
        <v>5</v>
      </c>
      <c r="P3" s="8" t="s">
        <v>586</v>
      </c>
      <c r="Q3" s="8" t="s">
        <v>464</v>
      </c>
      <c r="R3" t="str">
        <f t="shared" ref="R3:R25" si="0">IF(C3 = "articulation", "instruction/articulation.png", "instruction/notask.png")</f>
        <v>instruction/notask.png</v>
      </c>
    </row>
    <row r="4" spans="1:18" x14ac:dyDescent="0.2">
      <c r="A4">
        <v>6</v>
      </c>
      <c r="B4" t="s">
        <v>359</v>
      </c>
      <c r="C4" t="s">
        <v>363</v>
      </c>
      <c r="D4" t="s">
        <v>360</v>
      </c>
      <c r="E4" t="s">
        <v>900</v>
      </c>
      <c r="F4" t="s">
        <v>587</v>
      </c>
      <c r="G4" t="s">
        <v>396</v>
      </c>
      <c r="H4" t="s">
        <v>397</v>
      </c>
      <c r="I4" t="s">
        <v>16</v>
      </c>
      <c r="J4" t="s">
        <v>15</v>
      </c>
      <c r="K4">
        <v>2</v>
      </c>
      <c r="L4" s="8">
        <v>1.8979999999999999</v>
      </c>
      <c r="M4" s="8">
        <v>2.2989999999999999</v>
      </c>
      <c r="N4" s="8">
        <v>4</v>
      </c>
      <c r="O4" s="8">
        <v>4</v>
      </c>
      <c r="P4" s="8" t="s">
        <v>588</v>
      </c>
      <c r="Q4" s="8" t="s">
        <v>465</v>
      </c>
      <c r="R4" t="str">
        <f t="shared" si="0"/>
        <v>instruction/notask.png</v>
      </c>
    </row>
    <row r="5" spans="1:18" x14ac:dyDescent="0.2">
      <c r="A5">
        <v>8</v>
      </c>
      <c r="B5" t="s">
        <v>359</v>
      </c>
      <c r="C5" t="s">
        <v>362</v>
      </c>
      <c r="D5" t="s">
        <v>360</v>
      </c>
      <c r="E5" t="s">
        <v>901</v>
      </c>
      <c r="F5" t="s">
        <v>589</v>
      </c>
      <c r="G5" t="s">
        <v>399</v>
      </c>
      <c r="H5" t="s">
        <v>400</v>
      </c>
      <c r="I5" t="s">
        <v>18</v>
      </c>
      <c r="J5" t="s">
        <v>23</v>
      </c>
      <c r="K5">
        <v>2</v>
      </c>
      <c r="L5" s="8">
        <v>1.843</v>
      </c>
      <c r="M5" s="8">
        <v>2.2410000000000001</v>
      </c>
      <c r="N5" s="8">
        <v>2</v>
      </c>
      <c r="O5" s="8">
        <v>3</v>
      </c>
      <c r="P5" s="8" t="s">
        <v>590</v>
      </c>
      <c r="Q5" s="8" t="s">
        <v>466</v>
      </c>
      <c r="R5" t="str">
        <f t="shared" si="0"/>
        <v>instruction/articulation.png</v>
      </c>
    </row>
    <row r="6" spans="1:18" x14ac:dyDescent="0.2">
      <c r="A6">
        <v>10</v>
      </c>
      <c r="B6" t="s">
        <v>366</v>
      </c>
      <c r="C6" t="s">
        <v>362</v>
      </c>
      <c r="D6" t="s">
        <v>364</v>
      </c>
      <c r="E6" t="s">
        <v>902</v>
      </c>
      <c r="F6" t="s">
        <v>591</v>
      </c>
      <c r="G6" t="s">
        <v>402</v>
      </c>
      <c r="H6" t="s">
        <v>403</v>
      </c>
      <c r="I6" t="s">
        <v>24</v>
      </c>
      <c r="J6" t="s">
        <v>26</v>
      </c>
      <c r="K6">
        <v>1</v>
      </c>
      <c r="L6" s="8">
        <v>1.788</v>
      </c>
      <c r="M6" s="8">
        <v>2.3479999999999999</v>
      </c>
      <c r="N6" s="8">
        <v>3</v>
      </c>
      <c r="O6" s="8">
        <v>6</v>
      </c>
      <c r="P6" s="8" t="s">
        <v>592</v>
      </c>
      <c r="Q6" s="8" t="s">
        <v>467</v>
      </c>
      <c r="R6" t="str">
        <f t="shared" si="0"/>
        <v>instruction/articulation.png</v>
      </c>
    </row>
    <row r="7" spans="1:18" x14ac:dyDescent="0.2">
      <c r="A7">
        <v>11</v>
      </c>
      <c r="B7" t="s">
        <v>366</v>
      </c>
      <c r="C7" t="s">
        <v>363</v>
      </c>
      <c r="D7" t="s">
        <v>360</v>
      </c>
      <c r="E7" t="s">
        <v>903</v>
      </c>
      <c r="F7" t="s">
        <v>593</v>
      </c>
      <c r="G7" t="s">
        <v>405</v>
      </c>
      <c r="H7" t="s">
        <v>406</v>
      </c>
      <c r="I7" t="s">
        <v>27</v>
      </c>
      <c r="J7" t="s">
        <v>28</v>
      </c>
      <c r="K7">
        <v>2</v>
      </c>
      <c r="L7" s="8">
        <v>1.4950000000000001</v>
      </c>
      <c r="M7" s="8">
        <v>2.3450000000000002</v>
      </c>
      <c r="N7" s="8">
        <v>4</v>
      </c>
      <c r="O7" s="8">
        <v>5</v>
      </c>
      <c r="P7" s="8" t="s">
        <v>594</v>
      </c>
      <c r="Q7" s="8" t="s">
        <v>468</v>
      </c>
      <c r="R7" t="str">
        <f t="shared" si="0"/>
        <v>instruction/notask.png</v>
      </c>
    </row>
    <row r="8" spans="1:18" x14ac:dyDescent="0.2">
      <c r="A8">
        <v>13</v>
      </c>
      <c r="B8" t="s">
        <v>359</v>
      </c>
      <c r="C8" t="s">
        <v>363</v>
      </c>
      <c r="D8" t="s">
        <v>364</v>
      </c>
      <c r="E8" t="s">
        <v>904</v>
      </c>
      <c r="F8" t="s">
        <v>595</v>
      </c>
      <c r="G8" t="s">
        <v>408</v>
      </c>
      <c r="H8" t="s">
        <v>409</v>
      </c>
      <c r="I8" t="s">
        <v>35</v>
      </c>
      <c r="J8" t="s">
        <v>36</v>
      </c>
      <c r="K8">
        <v>1</v>
      </c>
      <c r="L8" s="8">
        <v>1.7589999999999999</v>
      </c>
      <c r="M8" s="8">
        <v>1.9710000000000001</v>
      </c>
      <c r="N8" s="8">
        <v>2</v>
      </c>
      <c r="O8" s="8">
        <v>4</v>
      </c>
      <c r="P8" s="8" t="s">
        <v>596</v>
      </c>
      <c r="Q8" s="8" t="s">
        <v>469</v>
      </c>
      <c r="R8" t="str">
        <f t="shared" si="0"/>
        <v>instruction/notask.png</v>
      </c>
    </row>
    <row r="9" spans="1:18" x14ac:dyDescent="0.2">
      <c r="A9">
        <v>15</v>
      </c>
      <c r="B9" t="s">
        <v>359</v>
      </c>
      <c r="C9" t="s">
        <v>362</v>
      </c>
      <c r="D9" t="s">
        <v>364</v>
      </c>
      <c r="E9" t="s">
        <v>905</v>
      </c>
      <c r="F9" t="s">
        <v>597</v>
      </c>
      <c r="G9" t="s">
        <v>411</v>
      </c>
      <c r="H9" t="s">
        <v>412</v>
      </c>
      <c r="I9" t="s">
        <v>57</v>
      </c>
      <c r="J9" t="s">
        <v>58</v>
      </c>
      <c r="K9">
        <v>1</v>
      </c>
      <c r="L9" s="8">
        <v>1.44</v>
      </c>
      <c r="M9" s="8">
        <v>2.56</v>
      </c>
      <c r="N9" s="8">
        <v>3</v>
      </c>
      <c r="O9" s="8">
        <v>3</v>
      </c>
      <c r="P9" s="8" t="s">
        <v>598</v>
      </c>
      <c r="Q9" s="8" t="s">
        <v>470</v>
      </c>
      <c r="R9" t="str">
        <f t="shared" si="0"/>
        <v>instruction/articulation.png</v>
      </c>
    </row>
    <row r="10" spans="1:18" x14ac:dyDescent="0.2">
      <c r="A10">
        <v>17</v>
      </c>
      <c r="B10" t="s">
        <v>366</v>
      </c>
      <c r="C10" t="s">
        <v>362</v>
      </c>
      <c r="D10" t="s">
        <v>360</v>
      </c>
      <c r="E10" t="s">
        <v>906</v>
      </c>
      <c r="F10" t="s">
        <v>599</v>
      </c>
      <c r="G10" t="s">
        <v>414</v>
      </c>
      <c r="H10" t="s">
        <v>415</v>
      </c>
      <c r="I10" t="s">
        <v>62</v>
      </c>
      <c r="J10" t="s">
        <v>63</v>
      </c>
      <c r="K10">
        <v>2</v>
      </c>
      <c r="L10" s="8">
        <v>1.46</v>
      </c>
      <c r="M10" s="8">
        <v>2.11</v>
      </c>
      <c r="N10" s="8">
        <v>4</v>
      </c>
      <c r="O10" s="8">
        <v>6</v>
      </c>
      <c r="P10" s="8" t="s">
        <v>600</v>
      </c>
      <c r="Q10" s="8" t="s">
        <v>471</v>
      </c>
      <c r="R10" t="str">
        <f t="shared" si="0"/>
        <v>instruction/articulation.png</v>
      </c>
    </row>
    <row r="11" spans="1:18" x14ac:dyDescent="0.2">
      <c r="A11">
        <v>19</v>
      </c>
      <c r="B11" t="s">
        <v>366</v>
      </c>
      <c r="C11" t="s">
        <v>363</v>
      </c>
      <c r="D11" t="s">
        <v>360</v>
      </c>
      <c r="E11" t="s">
        <v>907</v>
      </c>
      <c r="F11" t="s">
        <v>601</v>
      </c>
      <c r="G11" t="s">
        <v>417</v>
      </c>
      <c r="H11" t="s">
        <v>418</v>
      </c>
      <c r="I11" t="s">
        <v>40</v>
      </c>
      <c r="J11" t="s">
        <v>41</v>
      </c>
      <c r="K11">
        <v>2</v>
      </c>
      <c r="L11" s="8">
        <v>1.91</v>
      </c>
      <c r="M11" s="8">
        <v>2.339</v>
      </c>
      <c r="N11" s="8">
        <v>2</v>
      </c>
      <c r="O11" s="8">
        <v>5</v>
      </c>
      <c r="P11" s="8" t="s">
        <v>602</v>
      </c>
      <c r="Q11" s="8" t="s">
        <v>472</v>
      </c>
      <c r="R11" t="str">
        <f t="shared" si="0"/>
        <v>instruction/notask.png</v>
      </c>
    </row>
    <row r="12" spans="1:18" x14ac:dyDescent="0.2">
      <c r="A12">
        <v>21</v>
      </c>
      <c r="B12" t="s">
        <v>359</v>
      </c>
      <c r="C12" t="s">
        <v>363</v>
      </c>
      <c r="D12" t="s">
        <v>364</v>
      </c>
      <c r="E12" t="s">
        <v>908</v>
      </c>
      <c r="F12" t="s">
        <v>603</v>
      </c>
      <c r="G12" t="s">
        <v>420</v>
      </c>
      <c r="H12" t="s">
        <v>421</v>
      </c>
      <c r="I12" t="s">
        <v>45</v>
      </c>
      <c r="J12" t="s">
        <v>48</v>
      </c>
      <c r="K12">
        <v>1</v>
      </c>
      <c r="L12" s="8">
        <v>1.8340000000000001</v>
      </c>
      <c r="M12" s="8">
        <v>2.1440000000000001</v>
      </c>
      <c r="N12" s="8">
        <v>3</v>
      </c>
      <c r="O12" s="8">
        <v>4</v>
      </c>
      <c r="P12" s="8" t="s">
        <v>604</v>
      </c>
      <c r="Q12" s="8" t="s">
        <v>473</v>
      </c>
      <c r="R12" t="str">
        <f t="shared" si="0"/>
        <v>instruction/notask.png</v>
      </c>
    </row>
    <row r="13" spans="1:18" x14ac:dyDescent="0.2">
      <c r="A13">
        <v>23</v>
      </c>
      <c r="B13" t="s">
        <v>359</v>
      </c>
      <c r="C13" t="s">
        <v>362</v>
      </c>
      <c r="D13" t="s">
        <v>364</v>
      </c>
      <c r="E13" t="s">
        <v>909</v>
      </c>
      <c r="F13" t="s">
        <v>605</v>
      </c>
      <c r="G13" t="s">
        <v>423</v>
      </c>
      <c r="H13" t="s">
        <v>424</v>
      </c>
      <c r="I13" t="s">
        <v>70</v>
      </c>
      <c r="J13" t="s">
        <v>69</v>
      </c>
      <c r="K13">
        <v>1</v>
      </c>
      <c r="L13" s="8">
        <v>1.7529999999999999</v>
      </c>
      <c r="M13" s="8">
        <v>2.2000000000000002</v>
      </c>
      <c r="N13" s="8">
        <v>4</v>
      </c>
      <c r="O13" s="8">
        <v>3</v>
      </c>
      <c r="P13" s="8" t="s">
        <v>606</v>
      </c>
      <c r="Q13" s="8" t="s">
        <v>474</v>
      </c>
      <c r="R13" t="str">
        <f t="shared" si="0"/>
        <v>instruction/articulation.png</v>
      </c>
    </row>
    <row r="14" spans="1:18" x14ac:dyDescent="0.2">
      <c r="A14">
        <v>107</v>
      </c>
      <c r="B14" t="s">
        <v>388</v>
      </c>
      <c r="C14" t="s">
        <v>363</v>
      </c>
      <c r="D14" t="s">
        <v>388</v>
      </c>
      <c r="E14" t="s">
        <v>718</v>
      </c>
      <c r="F14" t="s">
        <v>220</v>
      </c>
      <c r="G14" t="s">
        <v>171</v>
      </c>
      <c r="H14" t="s">
        <v>242</v>
      </c>
      <c r="I14" t="s">
        <v>205</v>
      </c>
      <c r="J14" t="s">
        <v>206</v>
      </c>
      <c r="K14">
        <v>1</v>
      </c>
      <c r="L14" s="8">
        <v>1.736</v>
      </c>
      <c r="M14" s="8">
        <v>1.9159999999999999</v>
      </c>
      <c r="N14" s="8">
        <v>2</v>
      </c>
      <c r="O14" s="8">
        <v>6</v>
      </c>
      <c r="P14" s="8" t="s">
        <v>607</v>
      </c>
      <c r="Q14" s="8" t="s">
        <v>608</v>
      </c>
      <c r="R14" t="str">
        <f t="shared" si="0"/>
        <v>instruction/notask.png</v>
      </c>
    </row>
    <row r="15" spans="1:18" x14ac:dyDescent="0.2">
      <c r="A15">
        <v>108</v>
      </c>
      <c r="B15" t="s">
        <v>388</v>
      </c>
      <c r="C15" t="s">
        <v>362</v>
      </c>
      <c r="D15" t="s">
        <v>388</v>
      </c>
      <c r="E15" t="s">
        <v>719</v>
      </c>
      <c r="F15" t="s">
        <v>175</v>
      </c>
      <c r="G15" t="s">
        <v>247</v>
      </c>
      <c r="H15" t="s">
        <v>248</v>
      </c>
      <c r="I15" t="s">
        <v>208</v>
      </c>
      <c r="J15" t="s">
        <v>209</v>
      </c>
      <c r="K15">
        <v>2</v>
      </c>
      <c r="L15" s="8">
        <v>2.0289999999999999</v>
      </c>
      <c r="M15" s="8">
        <v>1.6830000000000001</v>
      </c>
      <c r="N15" s="8">
        <v>3</v>
      </c>
      <c r="O15" s="8">
        <v>5</v>
      </c>
      <c r="P15" s="8" t="s">
        <v>609</v>
      </c>
      <c r="Q15" s="8" t="s">
        <v>610</v>
      </c>
      <c r="R15" t="str">
        <f t="shared" si="0"/>
        <v>instruction/articulation.png</v>
      </c>
    </row>
    <row r="16" spans="1:18" x14ac:dyDescent="0.2">
      <c r="A16">
        <v>109</v>
      </c>
      <c r="B16" t="s">
        <v>388</v>
      </c>
      <c r="C16" t="s">
        <v>363</v>
      </c>
      <c r="D16" t="s">
        <v>388</v>
      </c>
      <c r="E16" t="s">
        <v>720</v>
      </c>
      <c r="F16" t="s">
        <v>200</v>
      </c>
      <c r="G16" t="s">
        <v>243</v>
      </c>
      <c r="H16" t="s">
        <v>244</v>
      </c>
      <c r="I16" t="s">
        <v>152</v>
      </c>
      <c r="J16" t="s">
        <v>208</v>
      </c>
      <c r="K16">
        <v>1</v>
      </c>
      <c r="L16" s="8">
        <v>1.718</v>
      </c>
      <c r="M16" s="8">
        <v>1.6830000000000001</v>
      </c>
      <c r="N16" s="8">
        <v>4</v>
      </c>
      <c r="O16" s="8">
        <v>4</v>
      </c>
      <c r="P16" s="8" t="s">
        <v>611</v>
      </c>
      <c r="Q16" s="8" t="s">
        <v>612</v>
      </c>
      <c r="R16" t="str">
        <f t="shared" si="0"/>
        <v>instruction/notask.png</v>
      </c>
    </row>
    <row r="17" spans="1:18" x14ac:dyDescent="0.2">
      <c r="A17">
        <v>122</v>
      </c>
      <c r="B17" t="s">
        <v>388</v>
      </c>
      <c r="C17" t="s">
        <v>362</v>
      </c>
      <c r="D17" t="s">
        <v>388</v>
      </c>
      <c r="E17" t="s">
        <v>721</v>
      </c>
      <c r="F17" t="s">
        <v>227</v>
      </c>
      <c r="G17" t="s">
        <v>307</v>
      </c>
      <c r="H17" t="s">
        <v>228</v>
      </c>
      <c r="I17" t="s">
        <v>229</v>
      </c>
      <c r="J17" t="s">
        <v>230</v>
      </c>
      <c r="K17">
        <v>2</v>
      </c>
      <c r="L17" s="8">
        <v>1.625</v>
      </c>
      <c r="M17" s="8">
        <v>1.89</v>
      </c>
      <c r="N17" s="8">
        <v>2</v>
      </c>
      <c r="O17" s="8">
        <v>3</v>
      </c>
      <c r="P17" s="8" t="s">
        <v>613</v>
      </c>
      <c r="Q17" s="8" t="s">
        <v>614</v>
      </c>
      <c r="R17" t="str">
        <f t="shared" si="0"/>
        <v>instruction/articulation.png</v>
      </c>
    </row>
    <row r="18" spans="1:18" x14ac:dyDescent="0.2">
      <c r="A18">
        <v>123</v>
      </c>
      <c r="B18" t="s">
        <v>388</v>
      </c>
      <c r="C18" t="s">
        <v>363</v>
      </c>
      <c r="D18" t="s">
        <v>388</v>
      </c>
      <c r="E18" t="s">
        <v>722</v>
      </c>
      <c r="F18" t="s">
        <v>231</v>
      </c>
      <c r="G18" t="s">
        <v>232</v>
      </c>
      <c r="H18" t="s">
        <v>233</v>
      </c>
      <c r="I18" t="s">
        <v>234</v>
      </c>
      <c r="J18" t="s">
        <v>235</v>
      </c>
      <c r="K18">
        <v>1</v>
      </c>
      <c r="L18" s="8">
        <v>2.0139999999999998</v>
      </c>
      <c r="M18" s="8">
        <v>2.0350000000000001</v>
      </c>
      <c r="N18" s="8">
        <v>3</v>
      </c>
      <c r="O18" s="8">
        <v>6</v>
      </c>
      <c r="P18" s="8" t="s">
        <v>615</v>
      </c>
      <c r="Q18" s="8" t="s">
        <v>616</v>
      </c>
      <c r="R18" t="str">
        <f t="shared" si="0"/>
        <v>instruction/notask.png</v>
      </c>
    </row>
    <row r="19" spans="1:18" x14ac:dyDescent="0.2">
      <c r="A19">
        <v>124</v>
      </c>
      <c r="B19" t="s">
        <v>388</v>
      </c>
      <c r="C19" t="s">
        <v>362</v>
      </c>
      <c r="D19" t="s">
        <v>388</v>
      </c>
      <c r="E19" t="s">
        <v>723</v>
      </c>
      <c r="F19" t="s">
        <v>213</v>
      </c>
      <c r="G19" t="s">
        <v>308</v>
      </c>
      <c r="H19" t="s">
        <v>236</v>
      </c>
      <c r="I19" t="s">
        <v>154</v>
      </c>
      <c r="J19" t="s">
        <v>216</v>
      </c>
      <c r="K19">
        <v>2</v>
      </c>
      <c r="L19" s="8">
        <v>1.53</v>
      </c>
      <c r="M19" s="8">
        <v>1.919</v>
      </c>
      <c r="N19" s="8">
        <v>4</v>
      </c>
      <c r="O19" s="8">
        <v>5</v>
      </c>
      <c r="P19" s="8" t="s">
        <v>617</v>
      </c>
      <c r="Q19" s="8" t="s">
        <v>618</v>
      </c>
      <c r="R19" t="str">
        <f t="shared" si="0"/>
        <v>instruction/articulation.png</v>
      </c>
    </row>
    <row r="20" spans="1:18" x14ac:dyDescent="0.2">
      <c r="A20">
        <v>131</v>
      </c>
      <c r="B20" t="s">
        <v>388</v>
      </c>
      <c r="C20" t="s">
        <v>363</v>
      </c>
      <c r="D20" t="s">
        <v>388</v>
      </c>
      <c r="E20" t="s">
        <v>724</v>
      </c>
      <c r="F20" t="s">
        <v>260</v>
      </c>
      <c r="G20" t="s">
        <v>262</v>
      </c>
      <c r="H20" t="s">
        <v>282</v>
      </c>
      <c r="I20" t="s">
        <v>257</v>
      </c>
      <c r="J20" t="s">
        <v>256</v>
      </c>
      <c r="K20">
        <v>1</v>
      </c>
      <c r="L20" s="8">
        <v>1.718</v>
      </c>
      <c r="M20" s="8">
        <v>1.93</v>
      </c>
      <c r="N20" s="8">
        <v>2</v>
      </c>
      <c r="O20" s="8">
        <v>4</v>
      </c>
      <c r="P20" s="8" t="s">
        <v>619</v>
      </c>
      <c r="Q20" s="8" t="s">
        <v>620</v>
      </c>
      <c r="R20" t="str">
        <f t="shared" si="0"/>
        <v>instruction/notask.png</v>
      </c>
    </row>
    <row r="21" spans="1:18" x14ac:dyDescent="0.2">
      <c r="A21">
        <v>132</v>
      </c>
      <c r="B21" t="s">
        <v>388</v>
      </c>
      <c r="C21" t="s">
        <v>362</v>
      </c>
      <c r="D21" t="s">
        <v>388</v>
      </c>
      <c r="E21" t="s">
        <v>725</v>
      </c>
      <c r="F21" t="s">
        <v>271</v>
      </c>
      <c r="G21" t="s">
        <v>263</v>
      </c>
      <c r="H21" t="s">
        <v>264</v>
      </c>
      <c r="I21" t="s">
        <v>155</v>
      </c>
      <c r="J21" t="s">
        <v>156</v>
      </c>
      <c r="K21">
        <v>2</v>
      </c>
      <c r="L21" s="8">
        <v>2.0089999999999999</v>
      </c>
      <c r="M21" s="8">
        <v>2.258</v>
      </c>
      <c r="N21" s="8">
        <v>3</v>
      </c>
      <c r="O21" s="8">
        <v>3</v>
      </c>
      <c r="P21" s="8" t="s">
        <v>621</v>
      </c>
      <c r="Q21" s="8" t="s">
        <v>622</v>
      </c>
      <c r="R21" t="str">
        <f t="shared" si="0"/>
        <v>instruction/articulation.png</v>
      </c>
    </row>
    <row r="22" spans="1:18" x14ac:dyDescent="0.2">
      <c r="A22">
        <v>133</v>
      </c>
      <c r="B22" t="s">
        <v>388</v>
      </c>
      <c r="C22" t="s">
        <v>363</v>
      </c>
      <c r="D22" t="s">
        <v>388</v>
      </c>
      <c r="E22" t="s">
        <v>726</v>
      </c>
      <c r="F22" t="s">
        <v>269</v>
      </c>
      <c r="G22" t="s">
        <v>272</v>
      </c>
      <c r="H22" t="s">
        <v>267</v>
      </c>
      <c r="I22" t="s">
        <v>274</v>
      </c>
      <c r="J22" t="s">
        <v>273</v>
      </c>
      <c r="K22">
        <v>1</v>
      </c>
      <c r="L22" s="8">
        <v>2.1800000000000002</v>
      </c>
      <c r="M22" s="8">
        <v>1.5589999999999999</v>
      </c>
      <c r="N22" s="8">
        <v>4</v>
      </c>
      <c r="O22" s="8">
        <v>6</v>
      </c>
      <c r="P22" s="8" t="s">
        <v>623</v>
      </c>
      <c r="Q22" s="8" t="s">
        <v>624</v>
      </c>
      <c r="R22" t="str">
        <f t="shared" si="0"/>
        <v>instruction/notask.png</v>
      </c>
    </row>
    <row r="23" spans="1:18" x14ac:dyDescent="0.2">
      <c r="A23">
        <v>146</v>
      </c>
      <c r="B23" t="s">
        <v>388</v>
      </c>
      <c r="C23" t="s">
        <v>362</v>
      </c>
      <c r="D23" t="s">
        <v>388</v>
      </c>
      <c r="E23" t="s">
        <v>727</v>
      </c>
      <c r="F23" t="s">
        <v>329</v>
      </c>
      <c r="G23" t="s">
        <v>327</v>
      </c>
      <c r="H23" t="s">
        <v>331</v>
      </c>
      <c r="I23" t="s">
        <v>325</v>
      </c>
      <c r="J23" t="s">
        <v>328</v>
      </c>
      <c r="K23">
        <v>2</v>
      </c>
      <c r="L23" s="8">
        <v>1.988</v>
      </c>
      <c r="M23" s="8">
        <v>1.82</v>
      </c>
      <c r="N23" s="8">
        <v>2</v>
      </c>
      <c r="O23" s="8">
        <v>5</v>
      </c>
      <c r="P23" s="8" t="s">
        <v>625</v>
      </c>
      <c r="Q23" s="8" t="s">
        <v>626</v>
      </c>
      <c r="R23" t="str">
        <f t="shared" si="0"/>
        <v>instruction/articulation.png</v>
      </c>
    </row>
    <row r="24" spans="1:18" x14ac:dyDescent="0.2">
      <c r="A24">
        <v>147</v>
      </c>
      <c r="B24" t="s">
        <v>388</v>
      </c>
      <c r="C24" t="s">
        <v>363</v>
      </c>
      <c r="D24" t="s">
        <v>388</v>
      </c>
      <c r="E24" t="s">
        <v>728</v>
      </c>
      <c r="F24" t="s">
        <v>341</v>
      </c>
      <c r="G24" t="s">
        <v>342</v>
      </c>
      <c r="H24" t="s">
        <v>343</v>
      </c>
      <c r="I24" t="s">
        <v>344</v>
      </c>
      <c r="J24" t="s">
        <v>345</v>
      </c>
      <c r="K24">
        <v>1</v>
      </c>
      <c r="L24" s="8">
        <v>2.0089999999999999</v>
      </c>
      <c r="M24" s="8">
        <v>1.98</v>
      </c>
      <c r="N24" s="8">
        <v>3</v>
      </c>
      <c r="O24" s="8">
        <v>4</v>
      </c>
      <c r="P24" s="8" t="s">
        <v>627</v>
      </c>
      <c r="Q24" s="8" t="s">
        <v>628</v>
      </c>
      <c r="R24" t="str">
        <f t="shared" si="0"/>
        <v>instruction/notask.png</v>
      </c>
    </row>
    <row r="25" spans="1:18" x14ac:dyDescent="0.2">
      <c r="A25">
        <v>148</v>
      </c>
      <c r="B25" t="s">
        <v>388</v>
      </c>
      <c r="C25" t="s">
        <v>362</v>
      </c>
      <c r="D25" t="s">
        <v>388</v>
      </c>
      <c r="E25" t="s">
        <v>729</v>
      </c>
      <c r="F25" t="s">
        <v>346</v>
      </c>
      <c r="G25" t="s">
        <v>347</v>
      </c>
      <c r="H25" t="s">
        <v>348</v>
      </c>
      <c r="I25" t="s">
        <v>349</v>
      </c>
      <c r="J25" t="s">
        <v>253</v>
      </c>
      <c r="K25">
        <v>2</v>
      </c>
      <c r="L25" s="8">
        <v>1.994</v>
      </c>
      <c r="M25" s="8">
        <v>1.718</v>
      </c>
      <c r="N25" s="8">
        <v>4</v>
      </c>
      <c r="O25" s="8">
        <v>3</v>
      </c>
      <c r="P25" s="8" t="s">
        <v>629</v>
      </c>
      <c r="Q25" s="8" t="s">
        <v>630</v>
      </c>
      <c r="R25" t="str">
        <f t="shared" si="0"/>
        <v>instruction/articulation.png</v>
      </c>
    </row>
  </sheetData>
  <phoneticPr fontId="4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71AF0-A388-4B14-A44E-A665E2FB15BC}">
  <dimension ref="A1:R25"/>
  <sheetViews>
    <sheetView zoomScale="72" zoomScaleNormal="92" workbookViewId="0">
      <pane xSplit="4" topLeftCell="K1" activePane="topRight" state="frozen"/>
      <selection pane="topRight" activeCell="O2" sqref="O2:O25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3" width="13.1640625" style="8" customWidth="1"/>
    <col min="14" max="14" width="15.6640625" style="8" customWidth="1"/>
    <col min="15" max="15" width="11.6640625" style="8" customWidth="1"/>
    <col min="16" max="16" width="25.1640625" customWidth="1"/>
    <col min="17" max="17" width="25.3320312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2</v>
      </c>
      <c r="B2" t="s">
        <v>359</v>
      </c>
      <c r="C2" t="s">
        <v>363</v>
      </c>
      <c r="D2" t="s">
        <v>360</v>
      </c>
      <c r="E2" t="s">
        <v>886</v>
      </c>
      <c r="F2" t="s">
        <v>487</v>
      </c>
      <c r="G2" t="s">
        <v>488</v>
      </c>
      <c r="H2" t="s">
        <v>489</v>
      </c>
      <c r="I2" t="s">
        <v>8</v>
      </c>
      <c r="J2" t="s">
        <v>5</v>
      </c>
      <c r="K2">
        <v>2</v>
      </c>
      <c r="L2" s="8">
        <v>1.7589999999999999</v>
      </c>
      <c r="M2" s="8">
        <v>2.0489999999999999</v>
      </c>
      <c r="N2" s="8">
        <v>2</v>
      </c>
      <c r="O2" s="8">
        <v>6</v>
      </c>
      <c r="P2" s="8" t="s">
        <v>490</v>
      </c>
      <c r="Q2" s="8" t="s">
        <v>491</v>
      </c>
      <c r="R2" t="str">
        <f>IF(C2 = "articulation", "instruction/articulation.png", "instruction/notask.png")</f>
        <v>instruction/notask.png</v>
      </c>
    </row>
    <row r="3" spans="1:18" x14ac:dyDescent="0.2">
      <c r="A3">
        <v>3</v>
      </c>
      <c r="B3" t="s">
        <v>359</v>
      </c>
      <c r="C3" t="s">
        <v>362</v>
      </c>
      <c r="D3" t="s">
        <v>364</v>
      </c>
      <c r="E3" t="s">
        <v>887</v>
      </c>
      <c r="F3" t="s">
        <v>492</v>
      </c>
      <c r="G3" t="s">
        <v>493</v>
      </c>
      <c r="H3" t="s">
        <v>494</v>
      </c>
      <c r="I3" t="s">
        <v>7</v>
      </c>
      <c r="J3" t="s">
        <v>6</v>
      </c>
      <c r="K3">
        <v>1</v>
      </c>
      <c r="L3" s="8">
        <v>1.64</v>
      </c>
      <c r="M3" s="8">
        <v>2.069</v>
      </c>
      <c r="N3" s="8">
        <v>3</v>
      </c>
      <c r="O3" s="8">
        <v>5</v>
      </c>
      <c r="P3" s="8" t="s">
        <v>495</v>
      </c>
      <c r="Q3" s="8" t="s">
        <v>496</v>
      </c>
      <c r="R3" t="str">
        <f t="shared" ref="R3:R25" si="0">IF(C3 = "articulation", "instruction/articulation.png", "instruction/notask.png")</f>
        <v>instruction/articulation.png</v>
      </c>
    </row>
    <row r="4" spans="1:18" x14ac:dyDescent="0.2">
      <c r="A4">
        <v>5</v>
      </c>
      <c r="B4" t="s">
        <v>366</v>
      </c>
      <c r="C4" t="s">
        <v>362</v>
      </c>
      <c r="D4" t="s">
        <v>360</v>
      </c>
      <c r="E4" t="s">
        <v>888</v>
      </c>
      <c r="F4" t="s">
        <v>497</v>
      </c>
      <c r="G4" t="s">
        <v>498</v>
      </c>
      <c r="H4" t="s">
        <v>499</v>
      </c>
      <c r="I4" t="s">
        <v>12</v>
      </c>
      <c r="J4" t="s">
        <v>13</v>
      </c>
      <c r="K4">
        <v>2</v>
      </c>
      <c r="L4" s="8">
        <v>1.7150000000000001</v>
      </c>
      <c r="M4" s="8">
        <v>2.0750000000000002</v>
      </c>
      <c r="N4" s="8">
        <v>4</v>
      </c>
      <c r="O4" s="8">
        <v>4</v>
      </c>
      <c r="P4" s="8" t="s">
        <v>500</v>
      </c>
      <c r="Q4" s="8" t="s">
        <v>501</v>
      </c>
      <c r="R4" t="str">
        <f t="shared" si="0"/>
        <v>instruction/articulation.png</v>
      </c>
    </row>
    <row r="5" spans="1:18" x14ac:dyDescent="0.2">
      <c r="A5">
        <v>7</v>
      </c>
      <c r="B5" t="s">
        <v>366</v>
      </c>
      <c r="C5" t="s">
        <v>363</v>
      </c>
      <c r="D5" t="s">
        <v>360</v>
      </c>
      <c r="E5" t="s">
        <v>889</v>
      </c>
      <c r="F5" t="s">
        <v>502</v>
      </c>
      <c r="G5" t="s">
        <v>503</v>
      </c>
      <c r="H5" t="s">
        <v>504</v>
      </c>
      <c r="I5" t="s">
        <v>22</v>
      </c>
      <c r="J5" t="s">
        <v>20</v>
      </c>
      <c r="K5">
        <v>2</v>
      </c>
      <c r="L5" s="8">
        <v>1.9159999999999999</v>
      </c>
      <c r="M5" s="8">
        <v>2.395</v>
      </c>
      <c r="N5" s="8">
        <v>2</v>
      </c>
      <c r="O5" s="8">
        <v>3</v>
      </c>
      <c r="P5" s="8" t="s">
        <v>505</v>
      </c>
      <c r="Q5" s="8" t="s">
        <v>506</v>
      </c>
      <c r="R5" t="str">
        <f t="shared" si="0"/>
        <v>instruction/notask.png</v>
      </c>
    </row>
    <row r="6" spans="1:18" x14ac:dyDescent="0.2">
      <c r="A6">
        <v>9</v>
      </c>
      <c r="B6" t="s">
        <v>359</v>
      </c>
      <c r="C6" t="s">
        <v>363</v>
      </c>
      <c r="D6" t="s">
        <v>364</v>
      </c>
      <c r="E6" t="s">
        <v>890</v>
      </c>
      <c r="F6" t="s">
        <v>507</v>
      </c>
      <c r="G6" t="s">
        <v>508</v>
      </c>
      <c r="H6" t="s">
        <v>509</v>
      </c>
      <c r="I6" t="s">
        <v>59</v>
      </c>
      <c r="J6" t="s">
        <v>60</v>
      </c>
      <c r="K6">
        <v>1</v>
      </c>
      <c r="L6" s="8">
        <v>1.675</v>
      </c>
      <c r="M6" s="8">
        <v>2.165</v>
      </c>
      <c r="N6" s="8">
        <v>3</v>
      </c>
      <c r="O6" s="8">
        <v>6</v>
      </c>
      <c r="P6" s="8" t="s">
        <v>510</v>
      </c>
      <c r="Q6" s="8" t="s">
        <v>511</v>
      </c>
      <c r="R6" t="str">
        <f t="shared" si="0"/>
        <v>instruction/notask.png</v>
      </c>
    </row>
    <row r="7" spans="1:18" x14ac:dyDescent="0.2">
      <c r="A7">
        <v>12</v>
      </c>
      <c r="B7" t="s">
        <v>359</v>
      </c>
      <c r="C7" t="s">
        <v>362</v>
      </c>
      <c r="D7" t="s">
        <v>360</v>
      </c>
      <c r="E7" t="s">
        <v>891</v>
      </c>
      <c r="F7" t="s">
        <v>512</v>
      </c>
      <c r="G7" t="s">
        <v>513</v>
      </c>
      <c r="H7" t="s">
        <v>514</v>
      </c>
      <c r="I7" t="s">
        <v>33</v>
      </c>
      <c r="J7" t="s">
        <v>32</v>
      </c>
      <c r="K7">
        <v>2</v>
      </c>
      <c r="L7" s="8">
        <v>1.9159999999999999</v>
      </c>
      <c r="M7" s="8">
        <v>1.98</v>
      </c>
      <c r="N7" s="8">
        <v>4</v>
      </c>
      <c r="O7" s="8">
        <v>5</v>
      </c>
      <c r="P7" s="8" t="s">
        <v>515</v>
      </c>
      <c r="Q7" s="8" t="s">
        <v>516</v>
      </c>
      <c r="R7" t="str">
        <f t="shared" si="0"/>
        <v>instruction/articulation.png</v>
      </c>
    </row>
    <row r="8" spans="1:18" x14ac:dyDescent="0.2">
      <c r="A8">
        <v>14</v>
      </c>
      <c r="B8" t="s">
        <v>366</v>
      </c>
      <c r="C8" t="s">
        <v>362</v>
      </c>
      <c r="D8" t="s">
        <v>364</v>
      </c>
      <c r="E8" t="s">
        <v>892</v>
      </c>
      <c r="F8" t="s">
        <v>517</v>
      </c>
      <c r="G8" t="s">
        <v>518</v>
      </c>
      <c r="H8" t="s">
        <v>519</v>
      </c>
      <c r="I8" t="s">
        <v>55</v>
      </c>
      <c r="J8" t="s">
        <v>54</v>
      </c>
      <c r="K8">
        <v>1</v>
      </c>
      <c r="L8" s="8">
        <v>1.579</v>
      </c>
      <c r="M8" s="8">
        <v>2.194</v>
      </c>
      <c r="N8" s="8">
        <v>2</v>
      </c>
      <c r="O8" s="8">
        <v>4</v>
      </c>
      <c r="P8" s="8" t="s">
        <v>520</v>
      </c>
      <c r="Q8" s="8" t="s">
        <v>521</v>
      </c>
      <c r="R8" t="str">
        <f t="shared" si="0"/>
        <v>instruction/articulation.png</v>
      </c>
    </row>
    <row r="9" spans="1:18" x14ac:dyDescent="0.2">
      <c r="A9">
        <v>16</v>
      </c>
      <c r="B9" t="s">
        <v>366</v>
      </c>
      <c r="C9" t="s">
        <v>363</v>
      </c>
      <c r="D9" t="s">
        <v>364</v>
      </c>
      <c r="E9" t="s">
        <v>893</v>
      </c>
      <c r="F9" t="s">
        <v>522</v>
      </c>
      <c r="G9" t="s">
        <v>523</v>
      </c>
      <c r="H9" t="s">
        <v>524</v>
      </c>
      <c r="I9" t="s">
        <v>50</v>
      </c>
      <c r="J9" t="s">
        <v>49</v>
      </c>
      <c r="K9">
        <v>1</v>
      </c>
      <c r="L9" s="8">
        <v>1.466</v>
      </c>
      <c r="M9" s="8">
        <v>2.02</v>
      </c>
      <c r="N9" s="8">
        <v>3</v>
      </c>
      <c r="O9" s="8">
        <v>3</v>
      </c>
      <c r="P9" s="8" t="s">
        <v>525</v>
      </c>
      <c r="Q9" s="8" t="s">
        <v>526</v>
      </c>
      <c r="R9" t="str">
        <f t="shared" si="0"/>
        <v>instruction/notask.png</v>
      </c>
    </row>
    <row r="10" spans="1:18" x14ac:dyDescent="0.2">
      <c r="A10">
        <v>18</v>
      </c>
      <c r="B10" t="s">
        <v>359</v>
      </c>
      <c r="C10" t="s">
        <v>363</v>
      </c>
      <c r="D10" t="s">
        <v>360</v>
      </c>
      <c r="E10" t="s">
        <v>894</v>
      </c>
      <c r="F10" t="s">
        <v>527</v>
      </c>
      <c r="G10" t="s">
        <v>528</v>
      </c>
      <c r="H10" t="s">
        <v>529</v>
      </c>
      <c r="I10" t="s">
        <v>38</v>
      </c>
      <c r="J10" t="s">
        <v>37</v>
      </c>
      <c r="K10">
        <v>2</v>
      </c>
      <c r="L10" s="8">
        <v>1.7150000000000001</v>
      </c>
      <c r="M10" s="8">
        <v>2.4900000000000002</v>
      </c>
      <c r="N10" s="8">
        <v>4</v>
      </c>
      <c r="O10" s="8">
        <v>6</v>
      </c>
      <c r="P10" s="8" t="s">
        <v>530</v>
      </c>
      <c r="Q10" s="8" t="s">
        <v>531</v>
      </c>
      <c r="R10" t="str">
        <f t="shared" si="0"/>
        <v>instruction/notask.png</v>
      </c>
    </row>
    <row r="11" spans="1:18" x14ac:dyDescent="0.2">
      <c r="A11">
        <v>20</v>
      </c>
      <c r="B11" t="s">
        <v>359</v>
      </c>
      <c r="C11" t="s">
        <v>362</v>
      </c>
      <c r="D11" t="s">
        <v>360</v>
      </c>
      <c r="E11" t="s">
        <v>895</v>
      </c>
      <c r="F11" t="s">
        <v>532</v>
      </c>
      <c r="G11" t="s">
        <v>533</v>
      </c>
      <c r="H11" t="s">
        <v>534</v>
      </c>
      <c r="I11" t="s">
        <v>44</v>
      </c>
      <c r="J11" t="s">
        <v>47</v>
      </c>
      <c r="K11">
        <v>2</v>
      </c>
      <c r="L11" s="8">
        <v>1.7789999999999999</v>
      </c>
      <c r="M11" s="8">
        <v>2.331</v>
      </c>
      <c r="N11" s="8">
        <v>2</v>
      </c>
      <c r="O11" s="8">
        <v>5</v>
      </c>
      <c r="P11" s="8" t="s">
        <v>535</v>
      </c>
      <c r="Q11" s="8" t="s">
        <v>536</v>
      </c>
      <c r="R11" t="str">
        <f t="shared" si="0"/>
        <v>instruction/articulation.png</v>
      </c>
    </row>
    <row r="12" spans="1:18" x14ac:dyDescent="0.2">
      <c r="A12">
        <v>22</v>
      </c>
      <c r="B12" t="s">
        <v>366</v>
      </c>
      <c r="C12" t="s">
        <v>362</v>
      </c>
      <c r="D12" t="s">
        <v>364</v>
      </c>
      <c r="E12" t="s">
        <v>896</v>
      </c>
      <c r="F12" t="s">
        <v>537</v>
      </c>
      <c r="G12" t="s">
        <v>538</v>
      </c>
      <c r="H12" t="s">
        <v>539</v>
      </c>
      <c r="I12" t="s">
        <v>66</v>
      </c>
      <c r="J12" t="s">
        <v>65</v>
      </c>
      <c r="K12">
        <v>1</v>
      </c>
      <c r="L12" s="8">
        <v>1.736</v>
      </c>
      <c r="M12" s="8">
        <v>2.2839999999999998</v>
      </c>
      <c r="N12" s="8">
        <v>3</v>
      </c>
      <c r="O12" s="8">
        <v>4</v>
      </c>
      <c r="P12" s="8" t="s">
        <v>540</v>
      </c>
      <c r="Q12" s="8" t="s">
        <v>541</v>
      </c>
      <c r="R12" t="str">
        <f t="shared" si="0"/>
        <v>instruction/articulation.png</v>
      </c>
    </row>
    <row r="13" spans="1:18" x14ac:dyDescent="0.2">
      <c r="A13">
        <v>24</v>
      </c>
      <c r="B13" t="s">
        <v>366</v>
      </c>
      <c r="C13" t="s">
        <v>363</v>
      </c>
      <c r="D13" t="s">
        <v>364</v>
      </c>
      <c r="E13" t="s">
        <v>897</v>
      </c>
      <c r="F13" t="s">
        <v>542</v>
      </c>
      <c r="G13" t="s">
        <v>543</v>
      </c>
      <c r="H13" t="s">
        <v>544</v>
      </c>
      <c r="I13" t="s">
        <v>73</v>
      </c>
      <c r="J13" t="s">
        <v>71</v>
      </c>
      <c r="K13">
        <v>1</v>
      </c>
      <c r="L13" s="8">
        <v>1.5589999999999999</v>
      </c>
      <c r="M13" s="8">
        <v>2.3540000000000001</v>
      </c>
      <c r="N13" s="8">
        <v>4</v>
      </c>
      <c r="O13" s="8">
        <v>3</v>
      </c>
      <c r="P13" s="8" t="s">
        <v>545</v>
      </c>
      <c r="Q13" s="8" t="s">
        <v>546</v>
      </c>
      <c r="R13" t="str">
        <f t="shared" si="0"/>
        <v>instruction/notask.png</v>
      </c>
    </row>
    <row r="14" spans="1:18" x14ac:dyDescent="0.2">
      <c r="A14">
        <v>104</v>
      </c>
      <c r="B14" t="s">
        <v>388</v>
      </c>
      <c r="C14" t="s">
        <v>363</v>
      </c>
      <c r="D14" t="s">
        <v>388</v>
      </c>
      <c r="E14" t="s">
        <v>706</v>
      </c>
      <c r="F14" t="s">
        <v>161</v>
      </c>
      <c r="G14" t="s">
        <v>179</v>
      </c>
      <c r="H14" t="s">
        <v>162</v>
      </c>
      <c r="I14" t="s">
        <v>164</v>
      </c>
      <c r="J14" t="s">
        <v>163</v>
      </c>
      <c r="K14">
        <v>2</v>
      </c>
      <c r="L14" s="8">
        <v>1.8080000000000001</v>
      </c>
      <c r="M14" s="8">
        <v>2.04</v>
      </c>
      <c r="N14" s="8">
        <v>2</v>
      </c>
      <c r="O14" s="8">
        <v>6</v>
      </c>
      <c r="P14" s="8" t="s">
        <v>547</v>
      </c>
      <c r="Q14" s="8" t="s">
        <v>548</v>
      </c>
      <c r="R14" t="str">
        <f t="shared" si="0"/>
        <v>instruction/notask.png</v>
      </c>
    </row>
    <row r="15" spans="1:18" x14ac:dyDescent="0.2">
      <c r="A15">
        <v>105</v>
      </c>
      <c r="B15" t="s">
        <v>388</v>
      </c>
      <c r="C15" t="s">
        <v>362</v>
      </c>
      <c r="D15" t="s">
        <v>388</v>
      </c>
      <c r="E15" t="s">
        <v>707</v>
      </c>
      <c r="F15" t="s">
        <v>222</v>
      </c>
      <c r="G15" t="s">
        <v>178</v>
      </c>
      <c r="H15" t="s">
        <v>158</v>
      </c>
      <c r="I15" t="s">
        <v>160</v>
      </c>
      <c r="J15" t="s">
        <v>159</v>
      </c>
      <c r="K15">
        <v>1</v>
      </c>
      <c r="L15" s="8">
        <v>1.3089999999999999</v>
      </c>
      <c r="M15" s="8">
        <v>2.0960000000000001</v>
      </c>
      <c r="N15" s="8">
        <v>3</v>
      </c>
      <c r="O15" s="8">
        <v>5</v>
      </c>
      <c r="P15" s="8" t="s">
        <v>549</v>
      </c>
      <c r="Q15" s="8" t="s">
        <v>550</v>
      </c>
      <c r="R15" t="str">
        <f t="shared" si="0"/>
        <v>instruction/articulation.png</v>
      </c>
    </row>
    <row r="16" spans="1:18" x14ac:dyDescent="0.2">
      <c r="A16">
        <v>106</v>
      </c>
      <c r="B16" t="s">
        <v>388</v>
      </c>
      <c r="C16" t="s">
        <v>363</v>
      </c>
      <c r="D16" t="s">
        <v>388</v>
      </c>
      <c r="E16" t="s">
        <v>708</v>
      </c>
      <c r="F16" t="s">
        <v>169</v>
      </c>
      <c r="G16" t="s">
        <v>165</v>
      </c>
      <c r="H16" t="s">
        <v>166</v>
      </c>
      <c r="I16" t="s">
        <v>168</v>
      </c>
      <c r="J16" t="s">
        <v>167</v>
      </c>
      <c r="K16">
        <v>2</v>
      </c>
      <c r="L16" s="8">
        <v>1.704</v>
      </c>
      <c r="M16" s="8">
        <v>1.718</v>
      </c>
      <c r="N16" s="8">
        <v>4</v>
      </c>
      <c r="O16" s="8">
        <v>4</v>
      </c>
      <c r="P16" s="8" t="s">
        <v>551</v>
      </c>
      <c r="Q16" s="8" t="s">
        <v>552</v>
      </c>
      <c r="R16" t="str">
        <f t="shared" si="0"/>
        <v>instruction/notask.png</v>
      </c>
    </row>
    <row r="17" spans="1:18" x14ac:dyDescent="0.2">
      <c r="A17">
        <v>113</v>
      </c>
      <c r="B17" t="s">
        <v>388</v>
      </c>
      <c r="C17" t="s">
        <v>362</v>
      </c>
      <c r="D17" t="s">
        <v>388</v>
      </c>
      <c r="E17" t="s">
        <v>709</v>
      </c>
      <c r="F17" t="s">
        <v>184</v>
      </c>
      <c r="G17" t="s">
        <v>185</v>
      </c>
      <c r="H17" t="s">
        <v>188</v>
      </c>
      <c r="I17" t="s">
        <v>186</v>
      </c>
      <c r="J17" t="s">
        <v>187</v>
      </c>
      <c r="K17">
        <v>1</v>
      </c>
      <c r="L17" s="8">
        <v>1.84</v>
      </c>
      <c r="M17" s="8">
        <v>1.591</v>
      </c>
      <c r="N17" s="8">
        <v>2</v>
      </c>
      <c r="O17" s="8">
        <v>3</v>
      </c>
      <c r="P17" s="8" t="s">
        <v>553</v>
      </c>
      <c r="Q17" s="8" t="s">
        <v>554</v>
      </c>
      <c r="R17" t="str">
        <f t="shared" si="0"/>
        <v>instruction/articulation.png</v>
      </c>
    </row>
    <row r="18" spans="1:18" x14ac:dyDescent="0.2">
      <c r="A18">
        <v>114</v>
      </c>
      <c r="B18" t="s">
        <v>388</v>
      </c>
      <c r="C18" t="s">
        <v>363</v>
      </c>
      <c r="D18" t="s">
        <v>388</v>
      </c>
      <c r="E18" t="s">
        <v>710</v>
      </c>
      <c r="F18" t="s">
        <v>249</v>
      </c>
      <c r="G18" t="s">
        <v>250</v>
      </c>
      <c r="H18" t="s">
        <v>189</v>
      </c>
      <c r="I18" t="s">
        <v>191</v>
      </c>
      <c r="J18" t="s">
        <v>190</v>
      </c>
      <c r="K18">
        <v>2</v>
      </c>
      <c r="L18" s="8">
        <v>1.593</v>
      </c>
      <c r="M18" s="8">
        <v>1.9450000000000001</v>
      </c>
      <c r="N18" s="8">
        <v>3</v>
      </c>
      <c r="O18" s="8">
        <v>6</v>
      </c>
      <c r="P18" s="8" t="s">
        <v>555</v>
      </c>
      <c r="Q18" s="8" t="s">
        <v>556</v>
      </c>
      <c r="R18" t="str">
        <f t="shared" si="0"/>
        <v>instruction/notask.png</v>
      </c>
    </row>
    <row r="19" spans="1:18" x14ac:dyDescent="0.2">
      <c r="A19">
        <v>115</v>
      </c>
      <c r="B19" t="s">
        <v>388</v>
      </c>
      <c r="C19" t="s">
        <v>362</v>
      </c>
      <c r="D19" t="s">
        <v>388</v>
      </c>
      <c r="E19" t="s">
        <v>711</v>
      </c>
      <c r="F19" t="s">
        <v>224</v>
      </c>
      <c r="G19" t="s">
        <v>223</v>
      </c>
      <c r="H19" t="s">
        <v>225</v>
      </c>
      <c r="I19" t="s">
        <v>226</v>
      </c>
      <c r="J19" t="s">
        <v>153</v>
      </c>
      <c r="K19">
        <v>1</v>
      </c>
      <c r="L19" s="8">
        <v>1.71</v>
      </c>
      <c r="M19" s="8">
        <v>2.0230000000000001</v>
      </c>
      <c r="N19" s="8">
        <v>4</v>
      </c>
      <c r="O19" s="8">
        <v>5</v>
      </c>
      <c r="P19" s="8" t="s">
        <v>557</v>
      </c>
      <c r="Q19" s="8" t="s">
        <v>558</v>
      </c>
      <c r="R19" t="str">
        <f t="shared" si="0"/>
        <v>instruction/articulation.png</v>
      </c>
    </row>
    <row r="20" spans="1:18" x14ac:dyDescent="0.2">
      <c r="A20">
        <v>128</v>
      </c>
      <c r="B20" t="s">
        <v>388</v>
      </c>
      <c r="C20" t="s">
        <v>363</v>
      </c>
      <c r="D20" t="s">
        <v>388</v>
      </c>
      <c r="E20" t="s">
        <v>712</v>
      </c>
      <c r="F20" t="s">
        <v>297</v>
      </c>
      <c r="G20" t="s">
        <v>298</v>
      </c>
      <c r="H20" t="s">
        <v>299</v>
      </c>
      <c r="I20" t="s">
        <v>296</v>
      </c>
      <c r="J20" t="s">
        <v>151</v>
      </c>
      <c r="K20">
        <v>2</v>
      </c>
      <c r="L20" s="8">
        <v>1.9159999999999999</v>
      </c>
      <c r="M20" s="8">
        <v>1.794</v>
      </c>
      <c r="N20" s="8">
        <v>2</v>
      </c>
      <c r="O20" s="8">
        <v>4</v>
      </c>
      <c r="P20" s="8" t="s">
        <v>559</v>
      </c>
      <c r="Q20" s="8" t="s">
        <v>560</v>
      </c>
      <c r="R20" t="str">
        <f t="shared" si="0"/>
        <v>instruction/notask.png</v>
      </c>
    </row>
    <row r="21" spans="1:18" x14ac:dyDescent="0.2">
      <c r="A21">
        <v>129</v>
      </c>
      <c r="B21" t="s">
        <v>388</v>
      </c>
      <c r="C21" t="s">
        <v>362</v>
      </c>
      <c r="D21" t="s">
        <v>388</v>
      </c>
      <c r="E21" t="s">
        <v>713</v>
      </c>
      <c r="F21" t="s">
        <v>277</v>
      </c>
      <c r="G21" t="s">
        <v>278</v>
      </c>
      <c r="H21" t="s">
        <v>279</v>
      </c>
      <c r="I21" t="s">
        <v>276</v>
      </c>
      <c r="J21" t="s">
        <v>275</v>
      </c>
      <c r="K21">
        <v>1</v>
      </c>
      <c r="L21" s="8">
        <v>2.2290000000000001</v>
      </c>
      <c r="M21" s="8">
        <v>1.869</v>
      </c>
      <c r="N21" s="8">
        <v>3</v>
      </c>
      <c r="O21" s="8">
        <v>3</v>
      </c>
      <c r="P21" s="8" t="s">
        <v>561</v>
      </c>
      <c r="Q21" s="8" t="s">
        <v>562</v>
      </c>
      <c r="R21" t="str">
        <f t="shared" si="0"/>
        <v>instruction/articulation.png</v>
      </c>
    </row>
    <row r="22" spans="1:18" x14ac:dyDescent="0.2">
      <c r="A22">
        <v>130</v>
      </c>
      <c r="B22" t="s">
        <v>388</v>
      </c>
      <c r="C22" t="s">
        <v>363</v>
      </c>
      <c r="D22" t="s">
        <v>388</v>
      </c>
      <c r="E22" t="s">
        <v>714</v>
      </c>
      <c r="F22" t="s">
        <v>285</v>
      </c>
      <c r="G22" t="s">
        <v>286</v>
      </c>
      <c r="H22" t="s">
        <v>287</v>
      </c>
      <c r="I22" t="s">
        <v>288</v>
      </c>
      <c r="J22" t="s">
        <v>289</v>
      </c>
      <c r="K22">
        <v>2</v>
      </c>
      <c r="L22" s="8">
        <v>2.0960000000000001</v>
      </c>
      <c r="M22" s="8">
        <v>1.855</v>
      </c>
      <c r="N22" s="8">
        <v>4</v>
      </c>
      <c r="O22" s="8">
        <v>6</v>
      </c>
      <c r="P22" s="8" t="s">
        <v>563</v>
      </c>
      <c r="Q22" s="8" t="s">
        <v>564</v>
      </c>
      <c r="R22" t="str">
        <f t="shared" si="0"/>
        <v>instruction/notask.png</v>
      </c>
    </row>
    <row r="23" spans="1:18" x14ac:dyDescent="0.2">
      <c r="A23">
        <v>137</v>
      </c>
      <c r="B23" t="s">
        <v>388</v>
      </c>
      <c r="C23" t="s">
        <v>362</v>
      </c>
      <c r="D23" t="s">
        <v>388</v>
      </c>
      <c r="E23" t="s">
        <v>715</v>
      </c>
      <c r="F23" t="s">
        <v>309</v>
      </c>
      <c r="G23" t="s">
        <v>310</v>
      </c>
      <c r="H23" t="s">
        <v>311</v>
      </c>
      <c r="I23" t="s">
        <v>312</v>
      </c>
      <c r="J23" t="s">
        <v>313</v>
      </c>
      <c r="K23">
        <v>1</v>
      </c>
      <c r="L23" s="8">
        <v>1.9590000000000001</v>
      </c>
      <c r="M23" s="8">
        <v>1.5089999999999999</v>
      </c>
      <c r="N23" s="8">
        <v>2</v>
      </c>
      <c r="O23" s="8">
        <v>5</v>
      </c>
      <c r="P23" s="8" t="s">
        <v>565</v>
      </c>
      <c r="Q23" s="8" t="s">
        <v>566</v>
      </c>
      <c r="R23" t="str">
        <f t="shared" si="0"/>
        <v>instruction/articulation.png</v>
      </c>
    </row>
    <row r="24" spans="1:18" x14ac:dyDescent="0.2">
      <c r="A24">
        <v>138</v>
      </c>
      <c r="B24" t="s">
        <v>388</v>
      </c>
      <c r="C24" t="s">
        <v>363</v>
      </c>
      <c r="D24" t="s">
        <v>388</v>
      </c>
      <c r="E24" t="s">
        <v>716</v>
      </c>
      <c r="F24" t="s">
        <v>316</v>
      </c>
      <c r="G24" t="s">
        <v>317</v>
      </c>
      <c r="H24" t="s">
        <v>322</v>
      </c>
      <c r="I24" t="s">
        <v>318</v>
      </c>
      <c r="J24" t="s">
        <v>319</v>
      </c>
      <c r="K24">
        <v>2</v>
      </c>
      <c r="L24" s="8">
        <v>1.895</v>
      </c>
      <c r="M24" s="8">
        <v>1.8340000000000001</v>
      </c>
      <c r="N24" s="8">
        <v>3</v>
      </c>
      <c r="O24" s="8">
        <v>4</v>
      </c>
      <c r="P24" s="8" t="s">
        <v>567</v>
      </c>
      <c r="Q24" s="8" t="s">
        <v>568</v>
      </c>
      <c r="R24" t="str">
        <f t="shared" si="0"/>
        <v>instruction/notask.png</v>
      </c>
    </row>
    <row r="25" spans="1:18" x14ac:dyDescent="0.2">
      <c r="A25">
        <v>139</v>
      </c>
      <c r="B25" t="s">
        <v>388</v>
      </c>
      <c r="C25" t="s">
        <v>362</v>
      </c>
      <c r="D25" t="s">
        <v>388</v>
      </c>
      <c r="E25" t="s">
        <v>717</v>
      </c>
      <c r="F25" t="s">
        <v>354</v>
      </c>
      <c r="G25" t="s">
        <v>350</v>
      </c>
      <c r="H25" t="s">
        <v>351</v>
      </c>
      <c r="I25" t="s">
        <v>353</v>
      </c>
      <c r="J25" t="s">
        <v>352</v>
      </c>
      <c r="K25">
        <v>1</v>
      </c>
      <c r="L25" s="8">
        <v>1.9590000000000001</v>
      </c>
      <c r="M25" s="8">
        <v>2.069</v>
      </c>
      <c r="N25" s="8">
        <v>4</v>
      </c>
      <c r="O25" s="8">
        <v>3</v>
      </c>
      <c r="P25" s="8" t="s">
        <v>569</v>
      </c>
      <c r="Q25" s="8" t="s">
        <v>570</v>
      </c>
      <c r="R25" t="str">
        <f t="shared" si="0"/>
        <v>instruction/articulation.png</v>
      </c>
    </row>
  </sheetData>
  <phoneticPr fontId="4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C3851-0558-4FCA-9629-292DB258E0BB}">
  <dimension ref="A1:R25"/>
  <sheetViews>
    <sheetView zoomScale="72" zoomScaleNormal="92" workbookViewId="0">
      <pane xSplit="4" topLeftCell="H1" activePane="topRight" state="frozen"/>
      <selection pane="topRight" activeCell="O2" sqref="O2:O25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3" width="13.1640625" style="8" customWidth="1"/>
    <col min="14" max="14" width="15.6640625" style="8" customWidth="1"/>
    <col min="15" max="15" width="11.6640625" style="8" customWidth="1"/>
    <col min="16" max="16" width="25.1640625" customWidth="1"/>
    <col min="17" max="17" width="25.3320312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1</v>
      </c>
      <c r="B2" t="s">
        <v>359</v>
      </c>
      <c r="C2" t="s">
        <v>363</v>
      </c>
      <c r="D2" t="s">
        <v>364</v>
      </c>
      <c r="E2" t="s">
        <v>874</v>
      </c>
      <c r="F2" t="s">
        <v>389</v>
      </c>
      <c r="G2" t="s">
        <v>390</v>
      </c>
      <c r="H2" t="s">
        <v>391</v>
      </c>
      <c r="I2" t="s">
        <v>0</v>
      </c>
      <c r="J2" t="s">
        <v>2</v>
      </c>
      <c r="K2">
        <v>1</v>
      </c>
      <c r="L2" s="8">
        <v>1.6830000000000001</v>
      </c>
      <c r="M2" s="8">
        <v>2.3250000000000002</v>
      </c>
      <c r="N2" s="8">
        <v>2</v>
      </c>
      <c r="O2" s="8">
        <v>6</v>
      </c>
      <c r="P2" s="8" t="s">
        <v>426</v>
      </c>
      <c r="Q2" s="8" t="s">
        <v>463</v>
      </c>
      <c r="R2" t="str">
        <f>IF(C2 = "articulation", "instruction/articulation.png", "instruction/notask.png")</f>
        <v>instruction/notask.png</v>
      </c>
    </row>
    <row r="3" spans="1:18" x14ac:dyDescent="0.2">
      <c r="A3">
        <v>4</v>
      </c>
      <c r="B3" t="s">
        <v>359</v>
      </c>
      <c r="C3" t="s">
        <v>362</v>
      </c>
      <c r="D3" t="s">
        <v>360</v>
      </c>
      <c r="E3" t="s">
        <v>875</v>
      </c>
      <c r="F3" t="s">
        <v>392</v>
      </c>
      <c r="G3" t="s">
        <v>393</v>
      </c>
      <c r="H3" t="s">
        <v>394</v>
      </c>
      <c r="I3" t="s">
        <v>10</v>
      </c>
      <c r="J3" t="s">
        <v>53</v>
      </c>
      <c r="K3">
        <v>2</v>
      </c>
      <c r="L3" s="8">
        <v>1.5089999999999999</v>
      </c>
      <c r="M3" s="8">
        <v>2.601</v>
      </c>
      <c r="N3" s="8">
        <v>3</v>
      </c>
      <c r="O3" s="8">
        <v>5</v>
      </c>
      <c r="P3" s="8" t="s">
        <v>427</v>
      </c>
      <c r="Q3" s="8" t="s">
        <v>464</v>
      </c>
      <c r="R3" t="str">
        <f t="shared" ref="R3:R25" si="0">IF(C3 = "articulation", "instruction/articulation.png", "instruction/notask.png")</f>
        <v>instruction/articulation.png</v>
      </c>
    </row>
    <row r="4" spans="1:18" x14ac:dyDescent="0.2">
      <c r="A4">
        <v>6</v>
      </c>
      <c r="B4" t="s">
        <v>366</v>
      </c>
      <c r="C4" t="s">
        <v>362</v>
      </c>
      <c r="D4" t="s">
        <v>364</v>
      </c>
      <c r="E4" t="s">
        <v>876</v>
      </c>
      <c r="F4" t="s">
        <v>395</v>
      </c>
      <c r="G4" t="s">
        <v>396</v>
      </c>
      <c r="H4" t="s">
        <v>397</v>
      </c>
      <c r="I4" t="s">
        <v>16</v>
      </c>
      <c r="J4" t="s">
        <v>15</v>
      </c>
      <c r="K4">
        <v>1</v>
      </c>
      <c r="L4" s="8">
        <v>1.8979999999999999</v>
      </c>
      <c r="M4" s="8">
        <v>2.2989999999999999</v>
      </c>
      <c r="N4" s="8">
        <v>4</v>
      </c>
      <c r="O4" s="8">
        <v>4</v>
      </c>
      <c r="P4" s="8" t="s">
        <v>428</v>
      </c>
      <c r="Q4" s="8" t="s">
        <v>465</v>
      </c>
      <c r="R4" t="str">
        <f t="shared" si="0"/>
        <v>instruction/articulation.png</v>
      </c>
    </row>
    <row r="5" spans="1:18" x14ac:dyDescent="0.2">
      <c r="A5">
        <v>8</v>
      </c>
      <c r="B5" t="s">
        <v>366</v>
      </c>
      <c r="C5" t="s">
        <v>363</v>
      </c>
      <c r="D5" t="s">
        <v>364</v>
      </c>
      <c r="E5" t="s">
        <v>877</v>
      </c>
      <c r="F5" t="s">
        <v>398</v>
      </c>
      <c r="G5" t="s">
        <v>399</v>
      </c>
      <c r="H5" t="s">
        <v>400</v>
      </c>
      <c r="I5" t="s">
        <v>18</v>
      </c>
      <c r="J5" t="s">
        <v>23</v>
      </c>
      <c r="K5">
        <v>1</v>
      </c>
      <c r="L5" s="8">
        <v>1.8260000000000001</v>
      </c>
      <c r="M5" s="8">
        <v>2.2410000000000001</v>
      </c>
      <c r="N5" s="8">
        <v>2</v>
      </c>
      <c r="O5" s="8">
        <v>3</v>
      </c>
      <c r="P5" s="8" t="s">
        <v>429</v>
      </c>
      <c r="Q5" s="8" t="s">
        <v>466</v>
      </c>
      <c r="R5" t="str">
        <f t="shared" si="0"/>
        <v>instruction/notask.png</v>
      </c>
    </row>
    <row r="6" spans="1:18" x14ac:dyDescent="0.2">
      <c r="A6">
        <v>10</v>
      </c>
      <c r="B6" t="s">
        <v>359</v>
      </c>
      <c r="C6" t="s">
        <v>363</v>
      </c>
      <c r="D6" t="s">
        <v>360</v>
      </c>
      <c r="E6" t="s">
        <v>878</v>
      </c>
      <c r="F6" t="s">
        <v>401</v>
      </c>
      <c r="G6" t="s">
        <v>402</v>
      </c>
      <c r="H6" t="s">
        <v>403</v>
      </c>
      <c r="I6" t="s">
        <v>24</v>
      </c>
      <c r="J6" t="s">
        <v>26</v>
      </c>
      <c r="K6">
        <v>2</v>
      </c>
      <c r="L6" s="8">
        <v>1.7529999999999999</v>
      </c>
      <c r="M6" s="8">
        <v>2.3479999999999999</v>
      </c>
      <c r="N6" s="8">
        <v>3</v>
      </c>
      <c r="O6" s="8">
        <v>6</v>
      </c>
      <c r="P6" s="8" t="s">
        <v>430</v>
      </c>
      <c r="Q6" s="8" t="s">
        <v>467</v>
      </c>
      <c r="R6" t="str">
        <f t="shared" si="0"/>
        <v>instruction/notask.png</v>
      </c>
    </row>
    <row r="7" spans="1:18" x14ac:dyDescent="0.2">
      <c r="A7">
        <v>11</v>
      </c>
      <c r="B7" t="s">
        <v>359</v>
      </c>
      <c r="C7" t="s">
        <v>362</v>
      </c>
      <c r="D7" t="s">
        <v>364</v>
      </c>
      <c r="E7" t="s">
        <v>879</v>
      </c>
      <c r="F7" t="s">
        <v>404</v>
      </c>
      <c r="G7" t="s">
        <v>405</v>
      </c>
      <c r="H7" t="s">
        <v>406</v>
      </c>
      <c r="I7" t="s">
        <v>27</v>
      </c>
      <c r="J7" t="s">
        <v>28</v>
      </c>
      <c r="K7">
        <v>1</v>
      </c>
      <c r="L7" s="8">
        <v>1.585</v>
      </c>
      <c r="M7" s="8">
        <v>2.3450000000000002</v>
      </c>
      <c r="N7" s="8">
        <v>4</v>
      </c>
      <c r="O7" s="8">
        <v>5</v>
      </c>
      <c r="P7" s="8" t="s">
        <v>431</v>
      </c>
      <c r="Q7" s="8" t="s">
        <v>468</v>
      </c>
      <c r="R7" t="str">
        <f t="shared" si="0"/>
        <v>instruction/articulation.png</v>
      </c>
    </row>
    <row r="8" spans="1:18" x14ac:dyDescent="0.2">
      <c r="A8">
        <v>13</v>
      </c>
      <c r="B8" t="s">
        <v>366</v>
      </c>
      <c r="C8" t="s">
        <v>362</v>
      </c>
      <c r="D8" t="s">
        <v>360</v>
      </c>
      <c r="E8" t="s">
        <v>880</v>
      </c>
      <c r="F8" t="s">
        <v>407</v>
      </c>
      <c r="G8" t="s">
        <v>408</v>
      </c>
      <c r="H8" t="s">
        <v>409</v>
      </c>
      <c r="I8" t="s">
        <v>35</v>
      </c>
      <c r="J8" t="s">
        <v>36</v>
      </c>
      <c r="K8">
        <v>2</v>
      </c>
      <c r="L8" s="8">
        <v>1.7729999999999999</v>
      </c>
      <c r="M8" s="8">
        <v>1.9710000000000001</v>
      </c>
      <c r="N8" s="8">
        <v>2</v>
      </c>
      <c r="O8" s="8">
        <v>4</v>
      </c>
      <c r="P8" s="8" t="s">
        <v>432</v>
      </c>
      <c r="Q8" s="8" t="s">
        <v>469</v>
      </c>
      <c r="R8" t="str">
        <f t="shared" si="0"/>
        <v>instruction/articulation.png</v>
      </c>
    </row>
    <row r="9" spans="1:18" x14ac:dyDescent="0.2">
      <c r="A9">
        <v>15</v>
      </c>
      <c r="B9" t="s">
        <v>366</v>
      </c>
      <c r="C9" t="s">
        <v>363</v>
      </c>
      <c r="D9" t="s">
        <v>360</v>
      </c>
      <c r="E9" t="s">
        <v>881</v>
      </c>
      <c r="F9" t="s">
        <v>410</v>
      </c>
      <c r="G9" t="s">
        <v>411</v>
      </c>
      <c r="H9" t="s">
        <v>412</v>
      </c>
      <c r="I9" t="s">
        <v>57</v>
      </c>
      <c r="J9" t="s">
        <v>58</v>
      </c>
      <c r="K9">
        <v>2</v>
      </c>
      <c r="L9" s="8">
        <v>1.425</v>
      </c>
      <c r="M9" s="8">
        <v>2.56</v>
      </c>
      <c r="N9" s="8">
        <v>3</v>
      </c>
      <c r="O9" s="8">
        <v>3</v>
      </c>
      <c r="P9" s="8" t="s">
        <v>433</v>
      </c>
      <c r="Q9" s="8" t="s">
        <v>470</v>
      </c>
      <c r="R9" t="str">
        <f t="shared" si="0"/>
        <v>instruction/notask.png</v>
      </c>
    </row>
    <row r="10" spans="1:18" x14ac:dyDescent="0.2">
      <c r="A10">
        <v>17</v>
      </c>
      <c r="B10" t="s">
        <v>359</v>
      </c>
      <c r="C10" t="s">
        <v>363</v>
      </c>
      <c r="D10" t="s">
        <v>364</v>
      </c>
      <c r="E10" t="s">
        <v>882</v>
      </c>
      <c r="F10" t="s">
        <v>413</v>
      </c>
      <c r="G10" t="s">
        <v>414</v>
      </c>
      <c r="H10" t="s">
        <v>415</v>
      </c>
      <c r="I10" t="s">
        <v>62</v>
      </c>
      <c r="J10" t="s">
        <v>63</v>
      </c>
      <c r="K10">
        <v>1</v>
      </c>
      <c r="L10" s="8">
        <v>1.44</v>
      </c>
      <c r="M10" s="8">
        <v>2.11</v>
      </c>
      <c r="N10" s="8">
        <v>4</v>
      </c>
      <c r="O10" s="8">
        <v>6</v>
      </c>
      <c r="P10" s="8" t="s">
        <v>434</v>
      </c>
      <c r="Q10" s="8" t="s">
        <v>471</v>
      </c>
      <c r="R10" t="str">
        <f t="shared" si="0"/>
        <v>instruction/notask.png</v>
      </c>
    </row>
    <row r="11" spans="1:18" x14ac:dyDescent="0.2">
      <c r="A11">
        <v>19</v>
      </c>
      <c r="B11" t="s">
        <v>359</v>
      </c>
      <c r="C11" t="s">
        <v>362</v>
      </c>
      <c r="D11" t="s">
        <v>364</v>
      </c>
      <c r="E11" t="s">
        <v>883</v>
      </c>
      <c r="F11" t="s">
        <v>416</v>
      </c>
      <c r="G11" t="s">
        <v>417</v>
      </c>
      <c r="H11" t="s">
        <v>418</v>
      </c>
      <c r="I11" t="s">
        <v>40</v>
      </c>
      <c r="J11" t="s">
        <v>41</v>
      </c>
      <c r="K11">
        <v>1</v>
      </c>
      <c r="L11" s="8">
        <v>1.9239999999999999</v>
      </c>
      <c r="M11" s="8">
        <v>2.339</v>
      </c>
      <c r="N11" s="8">
        <v>2</v>
      </c>
      <c r="O11" s="8">
        <v>5</v>
      </c>
      <c r="P11" s="8" t="s">
        <v>435</v>
      </c>
      <c r="Q11" s="8" t="s">
        <v>472</v>
      </c>
      <c r="R11" t="str">
        <f t="shared" si="0"/>
        <v>instruction/articulation.png</v>
      </c>
    </row>
    <row r="12" spans="1:18" x14ac:dyDescent="0.2">
      <c r="A12">
        <v>21</v>
      </c>
      <c r="B12" t="s">
        <v>366</v>
      </c>
      <c r="C12" t="s">
        <v>362</v>
      </c>
      <c r="D12" t="s">
        <v>360</v>
      </c>
      <c r="E12" t="s">
        <v>884</v>
      </c>
      <c r="F12" t="s">
        <v>419</v>
      </c>
      <c r="G12" t="s">
        <v>420</v>
      </c>
      <c r="H12" t="s">
        <v>421</v>
      </c>
      <c r="I12" t="s">
        <v>45</v>
      </c>
      <c r="J12" t="s">
        <v>48</v>
      </c>
      <c r="K12">
        <v>2</v>
      </c>
      <c r="L12" s="8">
        <v>1.849</v>
      </c>
      <c r="M12" s="8">
        <v>2.1440000000000001</v>
      </c>
      <c r="N12" s="8">
        <v>3</v>
      </c>
      <c r="O12" s="8">
        <v>4</v>
      </c>
      <c r="P12" s="8" t="s">
        <v>436</v>
      </c>
      <c r="Q12" s="8" t="s">
        <v>473</v>
      </c>
      <c r="R12" t="str">
        <f t="shared" si="0"/>
        <v>instruction/articulation.png</v>
      </c>
    </row>
    <row r="13" spans="1:18" x14ac:dyDescent="0.2">
      <c r="A13">
        <v>23</v>
      </c>
      <c r="B13" t="s">
        <v>366</v>
      </c>
      <c r="C13" t="s">
        <v>363</v>
      </c>
      <c r="D13" t="s">
        <v>360</v>
      </c>
      <c r="E13" t="s">
        <v>885</v>
      </c>
      <c r="F13" t="s">
        <v>422</v>
      </c>
      <c r="G13" t="s">
        <v>423</v>
      </c>
      <c r="H13" t="s">
        <v>424</v>
      </c>
      <c r="I13" t="s">
        <v>70</v>
      </c>
      <c r="J13" t="s">
        <v>69</v>
      </c>
      <c r="K13">
        <v>2</v>
      </c>
      <c r="L13" s="8">
        <v>1.7390000000000001</v>
      </c>
      <c r="M13" s="8">
        <v>2.2000000000000002</v>
      </c>
      <c r="N13" s="8">
        <v>4</v>
      </c>
      <c r="O13" s="8">
        <v>3</v>
      </c>
      <c r="P13" s="8" t="s">
        <v>437</v>
      </c>
      <c r="Q13" s="8" t="s">
        <v>474</v>
      </c>
      <c r="R13" t="str">
        <f t="shared" si="0"/>
        <v>instruction/notask.png</v>
      </c>
    </row>
    <row r="14" spans="1:18" x14ac:dyDescent="0.2">
      <c r="A14">
        <v>101</v>
      </c>
      <c r="B14" t="s">
        <v>388</v>
      </c>
      <c r="C14" t="s">
        <v>363</v>
      </c>
      <c r="D14" t="s">
        <v>388</v>
      </c>
      <c r="E14" t="s">
        <v>694</v>
      </c>
      <c r="F14" t="s">
        <v>220</v>
      </c>
      <c r="G14" t="s">
        <v>221</v>
      </c>
      <c r="H14" t="s">
        <v>204</v>
      </c>
      <c r="I14" t="s">
        <v>205</v>
      </c>
      <c r="J14" t="s">
        <v>206</v>
      </c>
      <c r="K14">
        <v>1</v>
      </c>
      <c r="L14" s="8">
        <v>1.736</v>
      </c>
      <c r="M14" s="8">
        <v>2.1509999999999998</v>
      </c>
      <c r="N14" s="8">
        <v>2</v>
      </c>
      <c r="O14" s="8">
        <v>6</v>
      </c>
      <c r="P14" s="8" t="s">
        <v>439</v>
      </c>
      <c r="Q14" s="8" t="s">
        <v>440</v>
      </c>
      <c r="R14" t="str">
        <f t="shared" si="0"/>
        <v>instruction/notask.png</v>
      </c>
    </row>
    <row r="15" spans="1:18" x14ac:dyDescent="0.2">
      <c r="A15">
        <v>102</v>
      </c>
      <c r="B15" t="s">
        <v>388</v>
      </c>
      <c r="C15" t="s">
        <v>362</v>
      </c>
      <c r="D15" t="s">
        <v>388</v>
      </c>
      <c r="E15" t="s">
        <v>695</v>
      </c>
      <c r="F15" t="s">
        <v>175</v>
      </c>
      <c r="G15" t="s">
        <v>180</v>
      </c>
      <c r="H15" t="s">
        <v>207</v>
      </c>
      <c r="I15" t="s">
        <v>208</v>
      </c>
      <c r="J15" t="s">
        <v>209</v>
      </c>
      <c r="K15">
        <v>2</v>
      </c>
      <c r="L15" s="8">
        <v>2.0289999999999999</v>
      </c>
      <c r="M15" s="8">
        <v>1.605</v>
      </c>
      <c r="N15" s="8">
        <v>3</v>
      </c>
      <c r="O15" s="8">
        <v>5</v>
      </c>
      <c r="P15" s="8" t="s">
        <v>441</v>
      </c>
      <c r="Q15" s="8" t="s">
        <v>442</v>
      </c>
      <c r="R15" t="str">
        <f t="shared" si="0"/>
        <v>instruction/articulation.png</v>
      </c>
    </row>
    <row r="16" spans="1:18" x14ac:dyDescent="0.2">
      <c r="A16">
        <v>103</v>
      </c>
      <c r="B16" t="s">
        <v>388</v>
      </c>
      <c r="C16" t="s">
        <v>363</v>
      </c>
      <c r="D16" t="s">
        <v>388</v>
      </c>
      <c r="E16" t="s">
        <v>696</v>
      </c>
      <c r="F16" t="s">
        <v>200</v>
      </c>
      <c r="G16" t="s">
        <v>201</v>
      </c>
      <c r="H16" t="s">
        <v>202</v>
      </c>
      <c r="I16" t="s">
        <v>152</v>
      </c>
      <c r="J16" t="s">
        <v>203</v>
      </c>
      <c r="K16">
        <v>1</v>
      </c>
      <c r="L16" s="8">
        <v>1.718</v>
      </c>
      <c r="M16" s="8">
        <v>1.4279999999999999</v>
      </c>
      <c r="N16" s="8">
        <v>4</v>
      </c>
      <c r="O16" s="8">
        <v>4</v>
      </c>
      <c r="P16" s="8" t="s">
        <v>443</v>
      </c>
      <c r="Q16" s="8" t="s">
        <v>444</v>
      </c>
      <c r="R16" t="str">
        <f t="shared" si="0"/>
        <v>instruction/notask.png</v>
      </c>
    </row>
    <row r="17" spans="1:18" x14ac:dyDescent="0.2">
      <c r="A17">
        <v>116</v>
      </c>
      <c r="B17" t="s">
        <v>388</v>
      </c>
      <c r="C17" t="s">
        <v>362</v>
      </c>
      <c r="D17" t="s">
        <v>388</v>
      </c>
      <c r="E17" t="s">
        <v>697</v>
      </c>
      <c r="F17" t="s">
        <v>251</v>
      </c>
      <c r="G17" t="s">
        <v>252</v>
      </c>
      <c r="H17" t="s">
        <v>192</v>
      </c>
      <c r="I17" t="s">
        <v>194</v>
      </c>
      <c r="J17" t="s">
        <v>193</v>
      </c>
      <c r="K17">
        <v>2</v>
      </c>
      <c r="L17" s="8">
        <v>1.736</v>
      </c>
      <c r="M17" s="8">
        <v>2.0489999999999999</v>
      </c>
      <c r="N17" s="8">
        <v>2</v>
      </c>
      <c r="O17" s="8">
        <v>3</v>
      </c>
      <c r="P17" s="8" t="s">
        <v>445</v>
      </c>
      <c r="Q17" s="8" t="s">
        <v>446</v>
      </c>
      <c r="R17" t="str">
        <f t="shared" si="0"/>
        <v>instruction/articulation.png</v>
      </c>
    </row>
    <row r="18" spans="1:18" x14ac:dyDescent="0.2">
      <c r="A18">
        <v>117</v>
      </c>
      <c r="B18" t="s">
        <v>388</v>
      </c>
      <c r="C18" t="s">
        <v>363</v>
      </c>
      <c r="D18" t="s">
        <v>388</v>
      </c>
      <c r="E18" t="s">
        <v>698</v>
      </c>
      <c r="F18" t="s">
        <v>195</v>
      </c>
      <c r="G18" t="s">
        <v>196</v>
      </c>
      <c r="H18" t="s">
        <v>197</v>
      </c>
      <c r="I18" t="s">
        <v>198</v>
      </c>
      <c r="J18" t="s">
        <v>199</v>
      </c>
      <c r="K18">
        <v>1</v>
      </c>
      <c r="L18" s="8">
        <v>2.258</v>
      </c>
      <c r="M18" s="8">
        <v>1.698</v>
      </c>
      <c r="N18" s="8">
        <v>3</v>
      </c>
      <c r="O18" s="8">
        <v>6</v>
      </c>
      <c r="P18" s="8" t="s">
        <v>447</v>
      </c>
      <c r="Q18" s="8" t="s">
        <v>448</v>
      </c>
      <c r="R18" t="str">
        <f t="shared" si="0"/>
        <v>instruction/notask.png</v>
      </c>
    </row>
    <row r="19" spans="1:18" x14ac:dyDescent="0.2">
      <c r="A19">
        <v>118</v>
      </c>
      <c r="B19" t="s">
        <v>388</v>
      </c>
      <c r="C19" t="s">
        <v>362</v>
      </c>
      <c r="D19" t="s">
        <v>388</v>
      </c>
      <c r="E19" t="s">
        <v>699</v>
      </c>
      <c r="F19" t="s">
        <v>213</v>
      </c>
      <c r="G19" t="s">
        <v>214</v>
      </c>
      <c r="H19" t="s">
        <v>215</v>
      </c>
      <c r="I19" t="s">
        <v>154</v>
      </c>
      <c r="J19" t="s">
        <v>216</v>
      </c>
      <c r="K19">
        <v>2</v>
      </c>
      <c r="L19" s="8">
        <v>1.53</v>
      </c>
      <c r="M19" s="8">
        <v>1.9330000000000001</v>
      </c>
      <c r="N19" s="8">
        <v>4</v>
      </c>
      <c r="O19" s="8">
        <v>5</v>
      </c>
      <c r="P19" s="8" t="s">
        <v>449</v>
      </c>
      <c r="Q19" s="8" t="s">
        <v>450</v>
      </c>
      <c r="R19" t="str">
        <f t="shared" si="0"/>
        <v>instruction/articulation.png</v>
      </c>
    </row>
    <row r="20" spans="1:18" x14ac:dyDescent="0.2">
      <c r="A20">
        <v>125</v>
      </c>
      <c r="B20" t="s">
        <v>388</v>
      </c>
      <c r="C20" t="s">
        <v>363</v>
      </c>
      <c r="D20" t="s">
        <v>388</v>
      </c>
      <c r="E20" t="s">
        <v>700</v>
      </c>
      <c r="F20" t="s">
        <v>254</v>
      </c>
      <c r="G20" t="s">
        <v>261</v>
      </c>
      <c r="H20" t="s">
        <v>255</v>
      </c>
      <c r="I20" t="s">
        <v>256</v>
      </c>
      <c r="J20" t="s">
        <v>257</v>
      </c>
      <c r="K20">
        <v>1</v>
      </c>
      <c r="L20" s="8">
        <v>1.863</v>
      </c>
      <c r="M20" s="8">
        <v>2.145</v>
      </c>
      <c r="N20" s="8">
        <v>2</v>
      </c>
      <c r="O20" s="8">
        <v>4</v>
      </c>
      <c r="P20" s="8" t="s">
        <v>451</v>
      </c>
      <c r="Q20" s="8" t="s">
        <v>452</v>
      </c>
      <c r="R20" t="str">
        <f t="shared" si="0"/>
        <v>instruction/notask.png</v>
      </c>
    </row>
    <row r="21" spans="1:18" x14ac:dyDescent="0.2">
      <c r="A21">
        <v>126</v>
      </c>
      <c r="B21" t="s">
        <v>388</v>
      </c>
      <c r="C21" t="s">
        <v>362</v>
      </c>
      <c r="D21" t="s">
        <v>388</v>
      </c>
      <c r="E21" t="s">
        <v>701</v>
      </c>
      <c r="F21" t="s">
        <v>270</v>
      </c>
      <c r="G21" t="s">
        <v>258</v>
      </c>
      <c r="H21" t="s">
        <v>265</v>
      </c>
      <c r="I21" t="s">
        <v>157</v>
      </c>
      <c r="J21" t="s">
        <v>259</v>
      </c>
      <c r="K21">
        <v>2</v>
      </c>
      <c r="L21" s="8">
        <v>1.91</v>
      </c>
      <c r="M21" s="8">
        <v>2.1739999999999999</v>
      </c>
      <c r="N21" s="8">
        <v>3</v>
      </c>
      <c r="O21" s="8">
        <v>3</v>
      </c>
      <c r="P21" s="8" t="s">
        <v>453</v>
      </c>
      <c r="Q21" s="8" t="s">
        <v>454</v>
      </c>
      <c r="R21" t="str">
        <f t="shared" si="0"/>
        <v>instruction/articulation.png</v>
      </c>
    </row>
    <row r="22" spans="1:18" x14ac:dyDescent="0.2">
      <c r="A22">
        <v>127</v>
      </c>
      <c r="B22" t="s">
        <v>388</v>
      </c>
      <c r="C22" t="s">
        <v>363</v>
      </c>
      <c r="D22" t="s">
        <v>388</v>
      </c>
      <c r="E22" t="s">
        <v>702</v>
      </c>
      <c r="F22" t="s">
        <v>290</v>
      </c>
      <c r="G22" t="s">
        <v>266</v>
      </c>
      <c r="H22" t="s">
        <v>267</v>
      </c>
      <c r="I22" t="s">
        <v>291</v>
      </c>
      <c r="J22" t="s">
        <v>268</v>
      </c>
      <c r="K22">
        <v>1</v>
      </c>
      <c r="L22" s="8">
        <v>2.1509999999999998</v>
      </c>
      <c r="M22" s="8">
        <v>1.7849999999999999</v>
      </c>
      <c r="N22" s="8">
        <v>4</v>
      </c>
      <c r="O22" s="8">
        <v>6</v>
      </c>
      <c r="P22" s="8" t="s">
        <v>455</v>
      </c>
      <c r="Q22" s="8" t="s">
        <v>456</v>
      </c>
      <c r="R22" t="str">
        <f t="shared" si="0"/>
        <v>instruction/notask.png</v>
      </c>
    </row>
    <row r="23" spans="1:18" x14ac:dyDescent="0.2">
      <c r="A23">
        <v>140</v>
      </c>
      <c r="B23" t="s">
        <v>388</v>
      </c>
      <c r="C23" t="s">
        <v>362</v>
      </c>
      <c r="D23" t="s">
        <v>388</v>
      </c>
      <c r="E23" t="s">
        <v>703</v>
      </c>
      <c r="F23" t="s">
        <v>326</v>
      </c>
      <c r="G23" t="s">
        <v>327</v>
      </c>
      <c r="H23" t="s">
        <v>330</v>
      </c>
      <c r="I23" t="s">
        <v>328</v>
      </c>
      <c r="J23" t="s">
        <v>325</v>
      </c>
      <c r="K23">
        <v>2</v>
      </c>
      <c r="L23" s="8">
        <v>2.2349999999999999</v>
      </c>
      <c r="M23" s="8">
        <v>1.82</v>
      </c>
      <c r="N23" s="8">
        <v>2</v>
      </c>
      <c r="O23" s="8">
        <v>5</v>
      </c>
      <c r="P23" s="8" t="s">
        <v>457</v>
      </c>
      <c r="Q23" s="8" t="s">
        <v>458</v>
      </c>
      <c r="R23" t="str">
        <f t="shared" si="0"/>
        <v>instruction/articulation.png</v>
      </c>
    </row>
    <row r="24" spans="1:18" x14ac:dyDescent="0.2">
      <c r="A24">
        <v>141</v>
      </c>
      <c r="B24" t="s">
        <v>388</v>
      </c>
      <c r="C24" t="s">
        <v>363</v>
      </c>
      <c r="D24" t="s">
        <v>388</v>
      </c>
      <c r="E24" t="s">
        <v>704</v>
      </c>
      <c r="F24" t="s">
        <v>332</v>
      </c>
      <c r="G24" t="s">
        <v>340</v>
      </c>
      <c r="H24" t="s">
        <v>343</v>
      </c>
      <c r="I24" t="s">
        <v>333</v>
      </c>
      <c r="J24" t="s">
        <v>334</v>
      </c>
      <c r="K24">
        <v>1</v>
      </c>
      <c r="L24" s="8">
        <v>2.04</v>
      </c>
      <c r="M24" s="8">
        <v>1.9850000000000001</v>
      </c>
      <c r="N24" s="8">
        <v>3</v>
      </c>
      <c r="O24" s="8">
        <v>4</v>
      </c>
      <c r="P24" s="8" t="s">
        <v>459</v>
      </c>
      <c r="Q24" s="8" t="s">
        <v>460</v>
      </c>
      <c r="R24" t="str">
        <f t="shared" si="0"/>
        <v>instruction/notask.png</v>
      </c>
    </row>
    <row r="25" spans="1:18" x14ac:dyDescent="0.2">
      <c r="A25">
        <v>142</v>
      </c>
      <c r="B25" t="s">
        <v>388</v>
      </c>
      <c r="C25" t="s">
        <v>362</v>
      </c>
      <c r="D25" t="s">
        <v>388</v>
      </c>
      <c r="E25" t="s">
        <v>705</v>
      </c>
      <c r="F25" t="s">
        <v>335</v>
      </c>
      <c r="G25" t="s">
        <v>336</v>
      </c>
      <c r="H25" t="s">
        <v>337</v>
      </c>
      <c r="I25" t="s">
        <v>338</v>
      </c>
      <c r="J25" t="s">
        <v>339</v>
      </c>
      <c r="K25">
        <v>2</v>
      </c>
      <c r="L25" s="8">
        <v>2.1190000000000002</v>
      </c>
      <c r="M25" s="8">
        <v>1.724</v>
      </c>
      <c r="N25" s="8">
        <v>4</v>
      </c>
      <c r="O25" s="8">
        <v>3</v>
      </c>
      <c r="P25" s="8" t="s">
        <v>461</v>
      </c>
      <c r="Q25" s="8" t="s">
        <v>462</v>
      </c>
      <c r="R25" t="str">
        <f t="shared" si="0"/>
        <v>instruction/articulation.png</v>
      </c>
    </row>
  </sheetData>
  <phoneticPr fontId="4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926BE-CCCA-4190-9566-3A4A8F8E37BC}">
  <dimension ref="A1:R25"/>
  <sheetViews>
    <sheetView zoomScale="72" zoomScaleNormal="92" workbookViewId="0">
      <pane xSplit="4" topLeftCell="I1" activePane="topRight" state="frozen"/>
      <selection pane="topRight" activeCell="O2" sqref="O2:O25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3" width="13.1640625" style="8" customWidth="1"/>
    <col min="14" max="14" width="15.6640625" style="8" customWidth="1"/>
    <col min="15" max="15" width="11.6640625" style="8" customWidth="1"/>
    <col min="16" max="16" width="25.1640625" customWidth="1"/>
    <col min="17" max="17" width="25.3320312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2</v>
      </c>
      <c r="B2" t="s">
        <v>366</v>
      </c>
      <c r="C2" t="s">
        <v>363</v>
      </c>
      <c r="D2" t="s">
        <v>360</v>
      </c>
      <c r="E2" t="s">
        <v>860</v>
      </c>
      <c r="F2" t="s">
        <v>645</v>
      </c>
      <c r="G2" t="s">
        <v>488</v>
      </c>
      <c r="H2" t="s">
        <v>489</v>
      </c>
      <c r="I2" t="s">
        <v>5</v>
      </c>
      <c r="J2" t="s">
        <v>8</v>
      </c>
      <c r="K2">
        <v>2</v>
      </c>
      <c r="L2" s="8">
        <v>1.89</v>
      </c>
      <c r="M2" s="8">
        <v>2.0489999999999999</v>
      </c>
      <c r="N2" s="8">
        <v>2</v>
      </c>
      <c r="O2" s="8">
        <v>6</v>
      </c>
      <c r="P2" t="str">
        <f>IF($B2 = "plausible", "audio/" &amp; $A2 &amp; "_r1_plausible.wav", "audio/" &amp; $A2 &amp; "_r1_implausible.wav")</f>
        <v>audio/2_r1_implausible.wav</v>
      </c>
      <c r="Q2" t="str">
        <f>"audio/" &amp; $A2 &amp; "_r2.wav"</f>
        <v>audio/2_r2.wav</v>
      </c>
      <c r="R2" t="str">
        <f>IF(C2 = "articulation", "instruction/articulation.png", "instruction/notask.png")</f>
        <v>instruction/notask.png</v>
      </c>
    </row>
    <row r="3" spans="1:18" x14ac:dyDescent="0.2">
      <c r="A3">
        <v>3</v>
      </c>
      <c r="B3" t="s">
        <v>366</v>
      </c>
      <c r="C3" t="s">
        <v>363</v>
      </c>
      <c r="D3" t="s">
        <v>364</v>
      </c>
      <c r="E3" t="s">
        <v>861</v>
      </c>
      <c r="F3" t="s">
        <v>647</v>
      </c>
      <c r="G3" t="s">
        <v>493</v>
      </c>
      <c r="H3" t="s">
        <v>494</v>
      </c>
      <c r="I3" t="s">
        <v>6</v>
      </c>
      <c r="J3" t="s">
        <v>7</v>
      </c>
      <c r="K3">
        <v>1</v>
      </c>
      <c r="L3" s="8">
        <v>1.579</v>
      </c>
      <c r="M3" s="8">
        <v>2.069</v>
      </c>
      <c r="N3" s="8">
        <v>3</v>
      </c>
      <c r="O3" s="8">
        <v>5</v>
      </c>
      <c r="P3" t="str">
        <f t="shared" ref="P3:P13" si="0">IF($B3 = "plausible", "audio/" &amp; $A3 &amp; "_r1_plausible.wav", "audio/" &amp; $A3 &amp; "_r1_implausible.wav")</f>
        <v>audio/3_r1_implausible.wav</v>
      </c>
      <c r="Q3" t="str">
        <f t="shared" ref="Q3:Q13" si="1">"audio/" &amp; $A3 &amp; "_r2.wav"</f>
        <v>audio/3_r2.wav</v>
      </c>
      <c r="R3" t="str">
        <f t="shared" ref="R3:R25" si="2">IF(C3 = "articulation", "instruction/articulation.png", "instruction/notask.png")</f>
        <v>instruction/notask.png</v>
      </c>
    </row>
    <row r="4" spans="1:18" x14ac:dyDescent="0.2">
      <c r="A4">
        <v>5</v>
      </c>
      <c r="B4" t="s">
        <v>359</v>
      </c>
      <c r="C4" t="s">
        <v>363</v>
      </c>
      <c r="D4" t="s">
        <v>360</v>
      </c>
      <c r="E4" t="s">
        <v>862</v>
      </c>
      <c r="F4" t="s">
        <v>649</v>
      </c>
      <c r="G4" t="s">
        <v>498</v>
      </c>
      <c r="H4" t="s">
        <v>499</v>
      </c>
      <c r="I4" t="s">
        <v>13</v>
      </c>
      <c r="J4" t="s">
        <v>12</v>
      </c>
      <c r="K4">
        <v>2</v>
      </c>
      <c r="L4" s="8">
        <v>1.7529999999999999</v>
      </c>
      <c r="M4" s="8">
        <v>2.0750000000000002</v>
      </c>
      <c r="N4" s="8">
        <v>4</v>
      </c>
      <c r="O4" s="8">
        <v>4</v>
      </c>
      <c r="P4" t="str">
        <f t="shared" si="0"/>
        <v>audio/5_r1_plausible.wav</v>
      </c>
      <c r="Q4" t="str">
        <f t="shared" si="1"/>
        <v>audio/5_r2.wav</v>
      </c>
      <c r="R4" t="str">
        <f t="shared" si="2"/>
        <v>instruction/notask.png</v>
      </c>
    </row>
    <row r="5" spans="1:18" x14ac:dyDescent="0.2">
      <c r="A5">
        <v>7</v>
      </c>
      <c r="B5" t="s">
        <v>359</v>
      </c>
      <c r="C5" t="s">
        <v>362</v>
      </c>
      <c r="D5" t="s">
        <v>360</v>
      </c>
      <c r="E5" t="s">
        <v>863</v>
      </c>
      <c r="F5" t="s">
        <v>651</v>
      </c>
      <c r="G5" t="s">
        <v>503</v>
      </c>
      <c r="H5" t="s">
        <v>504</v>
      </c>
      <c r="I5" t="s">
        <v>20</v>
      </c>
      <c r="J5" t="s">
        <v>22</v>
      </c>
      <c r="K5">
        <v>2</v>
      </c>
      <c r="L5" s="8">
        <v>1.91</v>
      </c>
      <c r="M5" s="8">
        <v>2.395</v>
      </c>
      <c r="N5" s="8">
        <v>2</v>
      </c>
      <c r="O5" s="8">
        <v>3</v>
      </c>
      <c r="P5" t="str">
        <f t="shared" si="0"/>
        <v>audio/7_r1_plausible.wav</v>
      </c>
      <c r="Q5" t="str">
        <f t="shared" si="1"/>
        <v>audio/7_r2.wav</v>
      </c>
      <c r="R5" t="str">
        <f t="shared" si="2"/>
        <v>instruction/articulation.png</v>
      </c>
    </row>
    <row r="6" spans="1:18" x14ac:dyDescent="0.2">
      <c r="A6">
        <v>9</v>
      </c>
      <c r="B6" t="s">
        <v>366</v>
      </c>
      <c r="C6" t="s">
        <v>362</v>
      </c>
      <c r="D6" t="s">
        <v>364</v>
      </c>
      <c r="E6" t="s">
        <v>864</v>
      </c>
      <c r="F6" t="s">
        <v>653</v>
      </c>
      <c r="G6" t="s">
        <v>508</v>
      </c>
      <c r="H6" t="s">
        <v>509</v>
      </c>
      <c r="I6" t="s">
        <v>60</v>
      </c>
      <c r="J6" t="s">
        <v>59</v>
      </c>
      <c r="K6">
        <v>1</v>
      </c>
      <c r="L6" s="8">
        <v>1.7150000000000001</v>
      </c>
      <c r="M6" s="8">
        <v>2.165</v>
      </c>
      <c r="N6" s="8">
        <v>3</v>
      </c>
      <c r="O6" s="8">
        <v>6</v>
      </c>
      <c r="P6" t="str">
        <f t="shared" si="0"/>
        <v>audio/9_r1_implausible.wav</v>
      </c>
      <c r="Q6" t="str">
        <f t="shared" si="1"/>
        <v>audio/9_r2.wav</v>
      </c>
      <c r="R6" t="str">
        <f t="shared" si="2"/>
        <v>instruction/articulation.png</v>
      </c>
    </row>
    <row r="7" spans="1:18" x14ac:dyDescent="0.2">
      <c r="A7">
        <v>12</v>
      </c>
      <c r="B7" t="s">
        <v>366</v>
      </c>
      <c r="C7" t="s">
        <v>362</v>
      </c>
      <c r="D7" t="s">
        <v>360</v>
      </c>
      <c r="E7" t="s">
        <v>865</v>
      </c>
      <c r="F7" t="s">
        <v>655</v>
      </c>
      <c r="G7" t="s">
        <v>513</v>
      </c>
      <c r="H7" t="s">
        <v>514</v>
      </c>
      <c r="I7" t="s">
        <v>32</v>
      </c>
      <c r="J7" t="s">
        <v>33</v>
      </c>
      <c r="K7">
        <v>2</v>
      </c>
      <c r="L7" s="8">
        <v>1.9710000000000001</v>
      </c>
      <c r="M7" s="8">
        <v>1.98</v>
      </c>
      <c r="N7" s="8">
        <v>4</v>
      </c>
      <c r="O7" s="8">
        <v>5</v>
      </c>
      <c r="P7" t="str">
        <f t="shared" si="0"/>
        <v>audio/12_r1_implausible.wav</v>
      </c>
      <c r="Q7" t="str">
        <f t="shared" si="1"/>
        <v>audio/12_r2.wav</v>
      </c>
      <c r="R7" t="str">
        <f t="shared" si="2"/>
        <v>instruction/articulation.png</v>
      </c>
    </row>
    <row r="8" spans="1:18" x14ac:dyDescent="0.2">
      <c r="A8">
        <v>14</v>
      </c>
      <c r="B8" t="s">
        <v>359</v>
      </c>
      <c r="C8" t="s">
        <v>362</v>
      </c>
      <c r="D8" t="s">
        <v>364</v>
      </c>
      <c r="E8" t="s">
        <v>866</v>
      </c>
      <c r="F8" t="s">
        <v>657</v>
      </c>
      <c r="G8" t="s">
        <v>518</v>
      </c>
      <c r="H8" t="s">
        <v>519</v>
      </c>
      <c r="I8" t="s">
        <v>54</v>
      </c>
      <c r="J8" t="s">
        <v>55</v>
      </c>
      <c r="K8">
        <v>1</v>
      </c>
      <c r="L8" s="8">
        <v>1.663</v>
      </c>
      <c r="M8" s="8">
        <v>2.194</v>
      </c>
      <c r="N8" s="8">
        <v>2</v>
      </c>
      <c r="O8" s="8">
        <v>4</v>
      </c>
      <c r="P8" t="str">
        <f t="shared" si="0"/>
        <v>audio/14_r1_plausible.wav</v>
      </c>
      <c r="Q8" t="str">
        <f t="shared" si="1"/>
        <v>audio/14_r2.wav</v>
      </c>
      <c r="R8" t="str">
        <f t="shared" si="2"/>
        <v>instruction/articulation.png</v>
      </c>
    </row>
    <row r="9" spans="1:18" x14ac:dyDescent="0.2">
      <c r="A9">
        <v>16</v>
      </c>
      <c r="B9" t="s">
        <v>359</v>
      </c>
      <c r="C9" t="s">
        <v>363</v>
      </c>
      <c r="D9" t="s">
        <v>364</v>
      </c>
      <c r="E9" t="s">
        <v>867</v>
      </c>
      <c r="F9" t="s">
        <v>659</v>
      </c>
      <c r="G9" t="s">
        <v>523</v>
      </c>
      <c r="H9" t="s">
        <v>524</v>
      </c>
      <c r="I9" t="s">
        <v>49</v>
      </c>
      <c r="J9" t="s">
        <v>50</v>
      </c>
      <c r="K9">
        <v>1</v>
      </c>
      <c r="L9" s="8">
        <v>1.405</v>
      </c>
      <c r="M9" s="8">
        <v>2.02</v>
      </c>
      <c r="N9" s="8">
        <v>3</v>
      </c>
      <c r="O9" s="8">
        <v>3</v>
      </c>
      <c r="P9" t="str">
        <f t="shared" si="0"/>
        <v>audio/16_r1_plausible.wav</v>
      </c>
      <c r="Q9" t="str">
        <f t="shared" si="1"/>
        <v>audio/16_r2.wav</v>
      </c>
      <c r="R9" t="str">
        <f t="shared" si="2"/>
        <v>instruction/notask.png</v>
      </c>
    </row>
    <row r="10" spans="1:18" x14ac:dyDescent="0.2">
      <c r="A10">
        <v>18</v>
      </c>
      <c r="B10" t="s">
        <v>366</v>
      </c>
      <c r="C10" t="s">
        <v>363</v>
      </c>
      <c r="D10" t="s">
        <v>360</v>
      </c>
      <c r="E10" t="s">
        <v>868</v>
      </c>
      <c r="F10" t="s">
        <v>661</v>
      </c>
      <c r="G10" t="s">
        <v>528</v>
      </c>
      <c r="H10" t="s">
        <v>529</v>
      </c>
      <c r="I10" t="s">
        <v>37</v>
      </c>
      <c r="J10" t="s">
        <v>38</v>
      </c>
      <c r="K10">
        <v>2</v>
      </c>
      <c r="L10" s="8">
        <v>1.736</v>
      </c>
      <c r="M10" s="8">
        <v>2.4900000000000002</v>
      </c>
      <c r="N10" s="8">
        <v>4</v>
      </c>
      <c r="O10" s="8">
        <v>6</v>
      </c>
      <c r="P10" t="str">
        <f t="shared" si="0"/>
        <v>audio/18_r1_implausible.wav</v>
      </c>
      <c r="Q10" t="str">
        <f t="shared" si="1"/>
        <v>audio/18_r2.wav</v>
      </c>
      <c r="R10" t="str">
        <f t="shared" si="2"/>
        <v>instruction/notask.png</v>
      </c>
    </row>
    <row r="11" spans="1:18" x14ac:dyDescent="0.2">
      <c r="A11">
        <v>20</v>
      </c>
      <c r="B11" t="s">
        <v>366</v>
      </c>
      <c r="C11" t="s">
        <v>362</v>
      </c>
      <c r="D11" t="s">
        <v>360</v>
      </c>
      <c r="E11" t="s">
        <v>869</v>
      </c>
      <c r="F11" t="s">
        <v>663</v>
      </c>
      <c r="G11" t="s">
        <v>533</v>
      </c>
      <c r="H11" t="s">
        <v>534</v>
      </c>
      <c r="I11" t="s">
        <v>47</v>
      </c>
      <c r="J11" t="s">
        <v>44</v>
      </c>
      <c r="K11">
        <v>2</v>
      </c>
      <c r="L11" s="8">
        <v>1.84</v>
      </c>
      <c r="M11" s="8">
        <v>2.331</v>
      </c>
      <c r="N11" s="8">
        <v>2</v>
      </c>
      <c r="O11" s="8">
        <v>5</v>
      </c>
      <c r="P11" t="str">
        <f t="shared" si="0"/>
        <v>audio/20_r1_implausible.wav</v>
      </c>
      <c r="Q11" t="str">
        <f t="shared" si="1"/>
        <v>audio/20_r2.wav</v>
      </c>
      <c r="R11" t="str">
        <f t="shared" si="2"/>
        <v>instruction/articulation.png</v>
      </c>
    </row>
    <row r="12" spans="1:18" x14ac:dyDescent="0.2">
      <c r="A12">
        <v>22</v>
      </c>
      <c r="B12" t="s">
        <v>359</v>
      </c>
      <c r="C12" t="s">
        <v>362</v>
      </c>
      <c r="D12" t="s">
        <v>364</v>
      </c>
      <c r="E12" t="s">
        <v>870</v>
      </c>
      <c r="F12" t="s">
        <v>665</v>
      </c>
      <c r="G12" t="s">
        <v>538</v>
      </c>
      <c r="H12" t="s">
        <v>539</v>
      </c>
      <c r="I12" t="s">
        <v>65</v>
      </c>
      <c r="J12" t="s">
        <v>66</v>
      </c>
      <c r="K12">
        <v>1</v>
      </c>
      <c r="L12" s="8">
        <v>1.718</v>
      </c>
      <c r="M12" s="8">
        <v>2.2839999999999998</v>
      </c>
      <c r="N12" s="8">
        <v>3</v>
      </c>
      <c r="O12" s="8">
        <v>4</v>
      </c>
      <c r="P12" t="str">
        <f t="shared" si="0"/>
        <v>audio/22_r1_plausible.wav</v>
      </c>
      <c r="Q12" t="str">
        <f t="shared" si="1"/>
        <v>audio/22_r2.wav</v>
      </c>
      <c r="R12" t="str">
        <f t="shared" si="2"/>
        <v>instruction/articulation.png</v>
      </c>
    </row>
    <row r="13" spans="1:18" x14ac:dyDescent="0.2">
      <c r="A13">
        <v>24</v>
      </c>
      <c r="B13" t="s">
        <v>359</v>
      </c>
      <c r="C13" t="s">
        <v>363</v>
      </c>
      <c r="D13" t="s">
        <v>364</v>
      </c>
      <c r="E13" t="s">
        <v>871</v>
      </c>
      <c r="F13" t="s">
        <v>667</v>
      </c>
      <c r="G13" t="s">
        <v>543</v>
      </c>
      <c r="H13" t="s">
        <v>544</v>
      </c>
      <c r="I13" t="s">
        <v>71</v>
      </c>
      <c r="J13" t="s">
        <v>73</v>
      </c>
      <c r="K13">
        <v>1</v>
      </c>
      <c r="L13" s="8">
        <v>1.5009999999999999</v>
      </c>
      <c r="M13" s="8">
        <v>2.3540000000000001</v>
      </c>
      <c r="N13" s="8">
        <v>4</v>
      </c>
      <c r="O13" s="8">
        <v>3</v>
      </c>
      <c r="P13" t="str">
        <f t="shared" si="0"/>
        <v>audio/24_r1_plausible.wav</v>
      </c>
      <c r="Q13" t="str">
        <f t="shared" si="1"/>
        <v>audio/24_r2.wav</v>
      </c>
      <c r="R13" t="str">
        <f t="shared" si="2"/>
        <v>instruction/notask.png</v>
      </c>
    </row>
    <row r="14" spans="1:18" x14ac:dyDescent="0.2">
      <c r="A14">
        <v>110</v>
      </c>
      <c r="B14" t="s">
        <v>388</v>
      </c>
      <c r="C14" t="s">
        <v>363</v>
      </c>
      <c r="D14" t="s">
        <v>388</v>
      </c>
      <c r="E14" t="s">
        <v>730</v>
      </c>
      <c r="F14" t="s">
        <v>161</v>
      </c>
      <c r="G14" t="s">
        <v>245</v>
      </c>
      <c r="H14" t="s">
        <v>162</v>
      </c>
      <c r="I14" t="s">
        <v>164</v>
      </c>
      <c r="J14" t="s">
        <v>246</v>
      </c>
      <c r="K14">
        <v>2</v>
      </c>
      <c r="L14" s="8">
        <v>1.8080000000000001</v>
      </c>
      <c r="M14" s="8">
        <v>2.02</v>
      </c>
      <c r="N14" s="8">
        <v>2</v>
      </c>
      <c r="O14" s="8">
        <v>6</v>
      </c>
      <c r="P14" s="8" t="s">
        <v>872</v>
      </c>
      <c r="Q14" s="8" t="s">
        <v>671</v>
      </c>
      <c r="R14" t="str">
        <f t="shared" si="2"/>
        <v>instruction/notask.png</v>
      </c>
    </row>
    <row r="15" spans="1:18" x14ac:dyDescent="0.2">
      <c r="A15">
        <v>111</v>
      </c>
      <c r="B15" t="s">
        <v>388</v>
      </c>
      <c r="C15" t="s">
        <v>362</v>
      </c>
      <c r="D15" t="s">
        <v>388</v>
      </c>
      <c r="E15" t="s">
        <v>731</v>
      </c>
      <c r="F15" t="s">
        <v>170</v>
      </c>
      <c r="G15" t="s">
        <v>171</v>
      </c>
      <c r="H15" t="s">
        <v>173</v>
      </c>
      <c r="I15" t="s">
        <v>172</v>
      </c>
      <c r="J15" t="s">
        <v>174</v>
      </c>
      <c r="K15">
        <v>1</v>
      </c>
      <c r="L15" s="8">
        <v>1.9850000000000001</v>
      </c>
      <c r="M15" s="8">
        <v>1.9159999999999999</v>
      </c>
      <c r="N15" s="8">
        <v>3</v>
      </c>
      <c r="O15" s="8">
        <v>5</v>
      </c>
      <c r="P15" s="8" t="s">
        <v>672</v>
      </c>
      <c r="Q15" s="8" t="s">
        <v>673</v>
      </c>
      <c r="R15" t="str">
        <f t="shared" si="2"/>
        <v>instruction/articulation.png</v>
      </c>
    </row>
    <row r="16" spans="1:18" x14ac:dyDescent="0.2">
      <c r="A16">
        <v>112</v>
      </c>
      <c r="B16" t="s">
        <v>388</v>
      </c>
      <c r="C16" t="s">
        <v>363</v>
      </c>
      <c r="D16" t="s">
        <v>388</v>
      </c>
      <c r="E16" t="s">
        <v>732</v>
      </c>
      <c r="F16" t="s">
        <v>176</v>
      </c>
      <c r="G16" t="s">
        <v>177</v>
      </c>
      <c r="H16" t="s">
        <v>181</v>
      </c>
      <c r="I16" t="s">
        <v>182</v>
      </c>
      <c r="J16" t="s">
        <v>183</v>
      </c>
      <c r="K16">
        <v>2</v>
      </c>
      <c r="L16" s="8">
        <v>2.456</v>
      </c>
      <c r="M16" s="8">
        <v>1.8140000000000001</v>
      </c>
      <c r="N16" s="8">
        <v>4</v>
      </c>
      <c r="O16" s="8">
        <v>4</v>
      </c>
      <c r="P16" s="8" t="s">
        <v>674</v>
      </c>
      <c r="Q16" s="8" t="s">
        <v>675</v>
      </c>
      <c r="R16" t="str">
        <f t="shared" si="2"/>
        <v>instruction/notask.png</v>
      </c>
    </row>
    <row r="17" spans="1:18" x14ac:dyDescent="0.2">
      <c r="A17">
        <v>119</v>
      </c>
      <c r="B17" t="s">
        <v>388</v>
      </c>
      <c r="C17" t="s">
        <v>362</v>
      </c>
      <c r="D17" t="s">
        <v>388</v>
      </c>
      <c r="E17" t="s">
        <v>733</v>
      </c>
      <c r="F17" t="s">
        <v>239</v>
      </c>
      <c r="G17" t="s">
        <v>237</v>
      </c>
      <c r="H17" t="s">
        <v>669</v>
      </c>
      <c r="I17" t="s">
        <v>238</v>
      </c>
      <c r="J17" t="s">
        <v>194</v>
      </c>
      <c r="K17">
        <v>1</v>
      </c>
      <c r="L17" s="8">
        <v>2.145</v>
      </c>
      <c r="M17" s="8">
        <v>1.46</v>
      </c>
      <c r="N17" s="8">
        <v>2</v>
      </c>
      <c r="O17" s="8">
        <v>3</v>
      </c>
      <c r="P17" s="8" t="s">
        <v>676</v>
      </c>
      <c r="Q17" s="8" t="s">
        <v>677</v>
      </c>
      <c r="R17" t="str">
        <f t="shared" si="2"/>
        <v>instruction/articulation.png</v>
      </c>
    </row>
    <row r="18" spans="1:18" x14ac:dyDescent="0.2">
      <c r="A18">
        <v>120</v>
      </c>
      <c r="B18" t="s">
        <v>388</v>
      </c>
      <c r="C18" t="s">
        <v>363</v>
      </c>
      <c r="D18" t="s">
        <v>388</v>
      </c>
      <c r="E18" t="s">
        <v>734</v>
      </c>
      <c r="F18" t="s">
        <v>305</v>
      </c>
      <c r="G18" t="s">
        <v>306</v>
      </c>
      <c r="H18" t="s">
        <v>210</v>
      </c>
      <c r="I18" t="s">
        <v>211</v>
      </c>
      <c r="J18" t="s">
        <v>212</v>
      </c>
      <c r="K18">
        <v>2</v>
      </c>
      <c r="L18" s="8">
        <v>1.7729999999999999</v>
      </c>
      <c r="M18" s="8">
        <v>1.974</v>
      </c>
      <c r="N18" s="8">
        <v>3</v>
      </c>
      <c r="O18" s="8">
        <v>6</v>
      </c>
      <c r="P18" s="8" t="s">
        <v>678</v>
      </c>
      <c r="Q18" s="8" t="s">
        <v>679</v>
      </c>
      <c r="R18" t="str">
        <f t="shared" si="2"/>
        <v>instruction/notask.png</v>
      </c>
    </row>
    <row r="19" spans="1:18" x14ac:dyDescent="0.2">
      <c r="A19">
        <v>121</v>
      </c>
      <c r="B19" t="s">
        <v>388</v>
      </c>
      <c r="C19" t="s">
        <v>362</v>
      </c>
      <c r="D19" t="s">
        <v>388</v>
      </c>
      <c r="E19" t="s">
        <v>735</v>
      </c>
      <c r="F19" t="s">
        <v>240</v>
      </c>
      <c r="G19" t="s">
        <v>223</v>
      </c>
      <c r="H19" t="s">
        <v>241</v>
      </c>
      <c r="I19" t="s">
        <v>199</v>
      </c>
      <c r="J19" t="s">
        <v>153</v>
      </c>
      <c r="K19">
        <v>1</v>
      </c>
      <c r="L19" s="8">
        <v>2.0089999999999999</v>
      </c>
      <c r="M19" s="8">
        <v>2.0230000000000001</v>
      </c>
      <c r="N19" s="8">
        <v>4</v>
      </c>
      <c r="O19" s="8">
        <v>5</v>
      </c>
      <c r="P19" s="8" t="s">
        <v>680</v>
      </c>
      <c r="Q19" s="8" t="s">
        <v>681</v>
      </c>
      <c r="R19" t="str">
        <f t="shared" si="2"/>
        <v>instruction/articulation.png</v>
      </c>
    </row>
    <row r="20" spans="1:18" x14ac:dyDescent="0.2">
      <c r="A20">
        <v>134</v>
      </c>
      <c r="B20" t="s">
        <v>388</v>
      </c>
      <c r="C20" t="s">
        <v>363</v>
      </c>
      <c r="D20" t="s">
        <v>388</v>
      </c>
      <c r="E20" t="s">
        <v>736</v>
      </c>
      <c r="F20" t="s">
        <v>300</v>
      </c>
      <c r="G20" t="s">
        <v>301</v>
      </c>
      <c r="H20" t="s">
        <v>302</v>
      </c>
      <c r="I20" t="s">
        <v>304</v>
      </c>
      <c r="J20" t="s">
        <v>303</v>
      </c>
      <c r="K20">
        <v>2</v>
      </c>
      <c r="L20" s="8">
        <v>2.0289999999999999</v>
      </c>
      <c r="M20" s="8">
        <v>2.11</v>
      </c>
      <c r="N20" s="8">
        <v>2</v>
      </c>
      <c r="O20" s="8">
        <v>4</v>
      </c>
      <c r="P20" s="8" t="s">
        <v>682</v>
      </c>
      <c r="Q20" s="8" t="s">
        <v>683</v>
      </c>
      <c r="R20" t="str">
        <f t="shared" si="2"/>
        <v>instruction/notask.png</v>
      </c>
    </row>
    <row r="21" spans="1:18" x14ac:dyDescent="0.2">
      <c r="A21">
        <v>135</v>
      </c>
      <c r="B21" t="s">
        <v>388</v>
      </c>
      <c r="C21" t="s">
        <v>362</v>
      </c>
      <c r="D21" t="s">
        <v>388</v>
      </c>
      <c r="E21" t="s">
        <v>737</v>
      </c>
      <c r="F21" t="s">
        <v>280</v>
      </c>
      <c r="G21" t="s">
        <v>281</v>
      </c>
      <c r="H21" t="s">
        <v>279</v>
      </c>
      <c r="I21" t="s">
        <v>284</v>
      </c>
      <c r="J21" t="s">
        <v>283</v>
      </c>
      <c r="K21">
        <v>1</v>
      </c>
      <c r="L21" s="8">
        <v>2.2090000000000001</v>
      </c>
      <c r="M21" s="8">
        <v>1.91</v>
      </c>
      <c r="N21" s="8">
        <v>3</v>
      </c>
      <c r="O21" s="8">
        <v>3</v>
      </c>
      <c r="P21" s="8" t="s">
        <v>684</v>
      </c>
      <c r="Q21" s="8" t="s">
        <v>685</v>
      </c>
      <c r="R21" t="str">
        <f t="shared" si="2"/>
        <v>instruction/articulation.png</v>
      </c>
    </row>
    <row r="22" spans="1:18" x14ac:dyDescent="0.2">
      <c r="A22">
        <v>136</v>
      </c>
      <c r="B22" t="s">
        <v>388</v>
      </c>
      <c r="C22" t="s">
        <v>363</v>
      </c>
      <c r="D22" t="s">
        <v>388</v>
      </c>
      <c r="E22" t="s">
        <v>738</v>
      </c>
      <c r="F22" t="s">
        <v>292</v>
      </c>
      <c r="G22" t="s">
        <v>293</v>
      </c>
      <c r="H22" t="s">
        <v>287</v>
      </c>
      <c r="I22" t="s">
        <v>294</v>
      </c>
      <c r="J22" t="s">
        <v>295</v>
      </c>
      <c r="K22">
        <v>2</v>
      </c>
      <c r="L22" s="8">
        <v>2.194</v>
      </c>
      <c r="M22" s="8">
        <v>1.7589999999999999</v>
      </c>
      <c r="N22" s="8">
        <v>4</v>
      </c>
      <c r="O22" s="8">
        <v>6</v>
      </c>
      <c r="P22" s="8" t="s">
        <v>686</v>
      </c>
      <c r="Q22" s="8" t="s">
        <v>687</v>
      </c>
      <c r="R22" t="str">
        <f t="shared" si="2"/>
        <v>instruction/notask.png</v>
      </c>
    </row>
    <row r="23" spans="1:18" x14ac:dyDescent="0.2">
      <c r="A23">
        <v>143</v>
      </c>
      <c r="B23" t="s">
        <v>388</v>
      </c>
      <c r="C23" t="s">
        <v>362</v>
      </c>
      <c r="D23" t="s">
        <v>388</v>
      </c>
      <c r="E23" t="s">
        <v>739</v>
      </c>
      <c r="F23" t="s">
        <v>314</v>
      </c>
      <c r="G23" t="s">
        <v>310</v>
      </c>
      <c r="H23" t="s">
        <v>315</v>
      </c>
      <c r="I23" t="s">
        <v>313</v>
      </c>
      <c r="J23" t="s">
        <v>312</v>
      </c>
      <c r="K23">
        <v>1</v>
      </c>
      <c r="L23" s="8">
        <v>2.0840000000000001</v>
      </c>
      <c r="M23" s="8">
        <v>1.5149999999999999</v>
      </c>
      <c r="N23" s="8">
        <v>2</v>
      </c>
      <c r="O23" s="8">
        <v>5</v>
      </c>
      <c r="P23" s="8" t="s">
        <v>688</v>
      </c>
      <c r="Q23" s="8" t="s">
        <v>689</v>
      </c>
      <c r="R23" t="str">
        <f t="shared" si="2"/>
        <v>instruction/articulation.png</v>
      </c>
    </row>
    <row r="24" spans="1:18" x14ac:dyDescent="0.2">
      <c r="A24">
        <v>144</v>
      </c>
      <c r="B24" t="s">
        <v>388</v>
      </c>
      <c r="C24" t="s">
        <v>363</v>
      </c>
      <c r="D24" t="s">
        <v>388</v>
      </c>
      <c r="E24" t="s">
        <v>740</v>
      </c>
      <c r="F24" t="s">
        <v>320</v>
      </c>
      <c r="G24" t="s">
        <v>321</v>
      </c>
      <c r="H24" t="s">
        <v>323</v>
      </c>
      <c r="I24" t="s">
        <v>318</v>
      </c>
      <c r="J24" t="s">
        <v>324</v>
      </c>
      <c r="K24">
        <v>2</v>
      </c>
      <c r="L24" s="8">
        <v>1.98</v>
      </c>
      <c r="M24" s="8">
        <v>1.8049999999999999</v>
      </c>
      <c r="N24" s="8">
        <v>3</v>
      </c>
      <c r="O24" s="8">
        <v>4</v>
      </c>
      <c r="P24" s="8" t="s">
        <v>690</v>
      </c>
      <c r="Q24" s="8" t="s">
        <v>691</v>
      </c>
      <c r="R24" t="str">
        <f t="shared" si="2"/>
        <v>instruction/notask.png</v>
      </c>
    </row>
    <row r="25" spans="1:18" x14ac:dyDescent="0.2">
      <c r="A25">
        <v>145</v>
      </c>
      <c r="B25" t="s">
        <v>388</v>
      </c>
      <c r="C25" t="s">
        <v>362</v>
      </c>
      <c r="D25" t="s">
        <v>388</v>
      </c>
      <c r="E25" t="s">
        <v>741</v>
      </c>
      <c r="F25" t="s">
        <v>425</v>
      </c>
      <c r="G25" t="s">
        <v>355</v>
      </c>
      <c r="H25" t="s">
        <v>356</v>
      </c>
      <c r="I25" t="s">
        <v>353</v>
      </c>
      <c r="J25" t="s">
        <v>352</v>
      </c>
      <c r="K25">
        <v>1</v>
      </c>
      <c r="L25" s="8">
        <v>1.9530000000000001</v>
      </c>
      <c r="M25" s="8">
        <v>2.11</v>
      </c>
      <c r="N25" s="8">
        <v>4</v>
      </c>
      <c r="O25" s="8">
        <v>3</v>
      </c>
      <c r="P25" s="8" t="s">
        <v>692</v>
      </c>
      <c r="Q25" s="8" t="s">
        <v>693</v>
      </c>
      <c r="R25" t="str">
        <f t="shared" si="2"/>
        <v>instruction/articulation.png</v>
      </c>
    </row>
  </sheetData>
  <phoneticPr fontId="4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BE916-0DEF-466A-85A1-97F3A76FCB5B}">
  <dimension ref="A1:R25"/>
  <sheetViews>
    <sheetView zoomScale="72" zoomScaleNormal="92" workbookViewId="0">
      <pane xSplit="4" topLeftCell="N1" activePane="topRight" state="frozen"/>
      <selection pane="topRight" activeCell="O2" sqref="O2:O25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4" width="13.1640625" style="8" customWidth="1"/>
    <col min="15" max="15" width="15.6640625" style="8" customWidth="1"/>
    <col min="16" max="16" width="25.1640625" customWidth="1"/>
    <col min="17" max="17" width="25.3320312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1</v>
      </c>
      <c r="B2" t="s">
        <v>366</v>
      </c>
      <c r="C2" t="s">
        <v>362</v>
      </c>
      <c r="D2" t="s">
        <v>364</v>
      </c>
      <c r="E2" t="s">
        <v>848</v>
      </c>
      <c r="F2" t="s">
        <v>583</v>
      </c>
      <c r="G2" t="s">
        <v>390</v>
      </c>
      <c r="H2" t="s">
        <v>391</v>
      </c>
      <c r="I2" t="s">
        <v>2</v>
      </c>
      <c r="J2" t="s">
        <v>0</v>
      </c>
      <c r="K2">
        <v>1</v>
      </c>
      <c r="L2" s="8">
        <v>1.724</v>
      </c>
      <c r="M2" s="8">
        <v>2.3250000000000002</v>
      </c>
      <c r="N2" s="8">
        <v>2</v>
      </c>
      <c r="O2" s="8">
        <v>6</v>
      </c>
      <c r="P2" s="8" t="s">
        <v>584</v>
      </c>
      <c r="Q2" s="8" t="s">
        <v>463</v>
      </c>
      <c r="R2" t="str">
        <f>IF(C2 = "articulation", "instruction/articulation.png", "instruction/notask.png")</f>
        <v>instruction/articulation.png</v>
      </c>
    </row>
    <row r="3" spans="1:18" x14ac:dyDescent="0.2">
      <c r="A3">
        <v>4</v>
      </c>
      <c r="B3" t="s">
        <v>366</v>
      </c>
      <c r="C3" t="s">
        <v>362</v>
      </c>
      <c r="D3" t="s">
        <v>360</v>
      </c>
      <c r="E3" t="s">
        <v>849</v>
      </c>
      <c r="F3" t="s">
        <v>585</v>
      </c>
      <c r="G3" t="s">
        <v>393</v>
      </c>
      <c r="H3" t="s">
        <v>394</v>
      </c>
      <c r="I3" t="s">
        <v>53</v>
      </c>
      <c r="J3" t="s">
        <v>10</v>
      </c>
      <c r="K3">
        <v>2</v>
      </c>
      <c r="L3" s="8">
        <v>1.5089999999999999</v>
      </c>
      <c r="M3" s="8">
        <v>2.601</v>
      </c>
      <c r="N3" s="8">
        <v>3</v>
      </c>
      <c r="O3" s="8">
        <v>5</v>
      </c>
      <c r="P3" s="8" t="s">
        <v>586</v>
      </c>
      <c r="Q3" s="8" t="s">
        <v>464</v>
      </c>
      <c r="R3" t="str">
        <f t="shared" ref="R3:R25" si="0">IF(C3 = "articulation", "instruction/articulation.png", "instruction/notask.png")</f>
        <v>instruction/articulation.png</v>
      </c>
    </row>
    <row r="4" spans="1:18" x14ac:dyDescent="0.2">
      <c r="A4">
        <v>6</v>
      </c>
      <c r="B4" t="s">
        <v>359</v>
      </c>
      <c r="C4" t="s">
        <v>362</v>
      </c>
      <c r="D4" t="s">
        <v>364</v>
      </c>
      <c r="E4" t="s">
        <v>850</v>
      </c>
      <c r="F4" t="s">
        <v>587</v>
      </c>
      <c r="G4" t="s">
        <v>396</v>
      </c>
      <c r="H4" t="s">
        <v>397</v>
      </c>
      <c r="I4" t="s">
        <v>15</v>
      </c>
      <c r="J4" t="s">
        <v>16</v>
      </c>
      <c r="K4">
        <v>1</v>
      </c>
      <c r="L4" s="8">
        <v>1.8979999999999999</v>
      </c>
      <c r="M4" s="8">
        <v>2.2989999999999999</v>
      </c>
      <c r="N4" s="8">
        <v>4</v>
      </c>
      <c r="O4" s="8">
        <v>4</v>
      </c>
      <c r="P4" s="8" t="s">
        <v>588</v>
      </c>
      <c r="Q4" s="8" t="s">
        <v>465</v>
      </c>
      <c r="R4" t="str">
        <f t="shared" si="0"/>
        <v>instruction/articulation.png</v>
      </c>
    </row>
    <row r="5" spans="1:18" x14ac:dyDescent="0.2">
      <c r="A5">
        <v>8</v>
      </c>
      <c r="B5" t="s">
        <v>359</v>
      </c>
      <c r="C5" t="s">
        <v>363</v>
      </c>
      <c r="D5" t="s">
        <v>364</v>
      </c>
      <c r="E5" t="s">
        <v>851</v>
      </c>
      <c r="F5" t="s">
        <v>589</v>
      </c>
      <c r="G5" t="s">
        <v>399</v>
      </c>
      <c r="H5" t="s">
        <v>400</v>
      </c>
      <c r="I5" t="s">
        <v>23</v>
      </c>
      <c r="J5" t="s">
        <v>18</v>
      </c>
      <c r="K5">
        <v>1</v>
      </c>
      <c r="L5" s="8">
        <v>1.843</v>
      </c>
      <c r="M5" s="8">
        <v>2.2410000000000001</v>
      </c>
      <c r="N5" s="8">
        <v>2</v>
      </c>
      <c r="O5" s="8">
        <v>3</v>
      </c>
      <c r="P5" s="8" t="s">
        <v>590</v>
      </c>
      <c r="Q5" s="8" t="s">
        <v>466</v>
      </c>
      <c r="R5" t="str">
        <f t="shared" si="0"/>
        <v>instruction/notask.png</v>
      </c>
    </row>
    <row r="6" spans="1:18" x14ac:dyDescent="0.2">
      <c r="A6">
        <v>10</v>
      </c>
      <c r="B6" t="s">
        <v>366</v>
      </c>
      <c r="C6" t="s">
        <v>363</v>
      </c>
      <c r="D6" t="s">
        <v>360</v>
      </c>
      <c r="E6" t="s">
        <v>852</v>
      </c>
      <c r="F6" t="s">
        <v>591</v>
      </c>
      <c r="G6" t="s">
        <v>402</v>
      </c>
      <c r="H6" t="s">
        <v>403</v>
      </c>
      <c r="I6" t="s">
        <v>26</v>
      </c>
      <c r="J6" t="s">
        <v>24</v>
      </c>
      <c r="K6">
        <v>2</v>
      </c>
      <c r="L6" s="8">
        <v>1.788</v>
      </c>
      <c r="M6" s="8">
        <v>2.3479999999999999</v>
      </c>
      <c r="N6" s="8">
        <v>3</v>
      </c>
      <c r="O6" s="8">
        <v>6</v>
      </c>
      <c r="P6" s="8" t="s">
        <v>592</v>
      </c>
      <c r="Q6" s="8" t="s">
        <v>467</v>
      </c>
      <c r="R6" t="str">
        <f t="shared" si="0"/>
        <v>instruction/notask.png</v>
      </c>
    </row>
    <row r="7" spans="1:18" x14ac:dyDescent="0.2">
      <c r="A7">
        <v>11</v>
      </c>
      <c r="B7" t="s">
        <v>366</v>
      </c>
      <c r="C7" t="s">
        <v>363</v>
      </c>
      <c r="D7" t="s">
        <v>364</v>
      </c>
      <c r="E7" t="s">
        <v>853</v>
      </c>
      <c r="F7" t="s">
        <v>593</v>
      </c>
      <c r="G7" t="s">
        <v>405</v>
      </c>
      <c r="H7" t="s">
        <v>406</v>
      </c>
      <c r="I7" t="s">
        <v>28</v>
      </c>
      <c r="J7" t="s">
        <v>27</v>
      </c>
      <c r="K7">
        <v>1</v>
      </c>
      <c r="L7" s="8">
        <v>1.4950000000000001</v>
      </c>
      <c r="M7" s="8">
        <v>2.3450000000000002</v>
      </c>
      <c r="N7" s="8">
        <v>4</v>
      </c>
      <c r="O7" s="8">
        <v>5</v>
      </c>
      <c r="P7" s="8" t="s">
        <v>594</v>
      </c>
      <c r="Q7" s="8" t="s">
        <v>468</v>
      </c>
      <c r="R7" t="str">
        <f t="shared" si="0"/>
        <v>instruction/notask.png</v>
      </c>
    </row>
    <row r="8" spans="1:18" x14ac:dyDescent="0.2">
      <c r="A8">
        <v>13</v>
      </c>
      <c r="B8" t="s">
        <v>359</v>
      </c>
      <c r="C8" t="s">
        <v>363</v>
      </c>
      <c r="D8" t="s">
        <v>360</v>
      </c>
      <c r="E8" t="s">
        <v>854</v>
      </c>
      <c r="F8" t="s">
        <v>595</v>
      </c>
      <c r="G8" t="s">
        <v>408</v>
      </c>
      <c r="H8" t="s">
        <v>409</v>
      </c>
      <c r="I8" t="s">
        <v>36</v>
      </c>
      <c r="J8" t="s">
        <v>35</v>
      </c>
      <c r="K8">
        <v>2</v>
      </c>
      <c r="L8" s="8">
        <v>1.7589999999999999</v>
      </c>
      <c r="M8" s="8">
        <v>1.9710000000000001</v>
      </c>
      <c r="N8" s="8">
        <v>2</v>
      </c>
      <c r="O8" s="8">
        <v>4</v>
      </c>
      <c r="P8" s="8" t="s">
        <v>596</v>
      </c>
      <c r="Q8" s="8" t="s">
        <v>469</v>
      </c>
      <c r="R8" t="str">
        <f t="shared" si="0"/>
        <v>instruction/notask.png</v>
      </c>
    </row>
    <row r="9" spans="1:18" x14ac:dyDescent="0.2">
      <c r="A9">
        <v>15</v>
      </c>
      <c r="B9" t="s">
        <v>359</v>
      </c>
      <c r="C9" t="s">
        <v>362</v>
      </c>
      <c r="D9" t="s">
        <v>360</v>
      </c>
      <c r="E9" t="s">
        <v>855</v>
      </c>
      <c r="F9" t="s">
        <v>597</v>
      </c>
      <c r="G9" t="s">
        <v>411</v>
      </c>
      <c r="H9" t="s">
        <v>412</v>
      </c>
      <c r="I9" t="s">
        <v>58</v>
      </c>
      <c r="J9" t="s">
        <v>57</v>
      </c>
      <c r="K9">
        <v>2</v>
      </c>
      <c r="L9" s="8">
        <v>1.44</v>
      </c>
      <c r="M9" s="8">
        <v>2.56</v>
      </c>
      <c r="N9" s="8">
        <v>3</v>
      </c>
      <c r="O9" s="8">
        <v>3</v>
      </c>
      <c r="P9" s="8" t="s">
        <v>598</v>
      </c>
      <c r="Q9" s="8" t="s">
        <v>470</v>
      </c>
      <c r="R9" t="str">
        <f t="shared" si="0"/>
        <v>instruction/articulation.png</v>
      </c>
    </row>
    <row r="10" spans="1:18" x14ac:dyDescent="0.2">
      <c r="A10">
        <v>17</v>
      </c>
      <c r="B10" t="s">
        <v>366</v>
      </c>
      <c r="C10" t="s">
        <v>362</v>
      </c>
      <c r="D10" t="s">
        <v>364</v>
      </c>
      <c r="E10" t="s">
        <v>856</v>
      </c>
      <c r="F10" t="s">
        <v>599</v>
      </c>
      <c r="G10" t="s">
        <v>414</v>
      </c>
      <c r="H10" t="s">
        <v>415</v>
      </c>
      <c r="I10" t="s">
        <v>63</v>
      </c>
      <c r="J10" t="s">
        <v>62</v>
      </c>
      <c r="K10">
        <v>1</v>
      </c>
      <c r="L10" s="8">
        <v>1.46</v>
      </c>
      <c r="M10" s="8">
        <v>2.11</v>
      </c>
      <c r="N10" s="8">
        <v>4</v>
      </c>
      <c r="O10" s="8">
        <v>6</v>
      </c>
      <c r="P10" s="8" t="s">
        <v>600</v>
      </c>
      <c r="Q10" s="8" t="s">
        <v>471</v>
      </c>
      <c r="R10" t="str">
        <f t="shared" si="0"/>
        <v>instruction/articulation.png</v>
      </c>
    </row>
    <row r="11" spans="1:18" x14ac:dyDescent="0.2">
      <c r="A11">
        <v>19</v>
      </c>
      <c r="B11" t="s">
        <v>366</v>
      </c>
      <c r="C11" t="s">
        <v>363</v>
      </c>
      <c r="D11" t="s">
        <v>364</v>
      </c>
      <c r="E11" t="s">
        <v>857</v>
      </c>
      <c r="F11" t="s">
        <v>601</v>
      </c>
      <c r="G11" t="s">
        <v>417</v>
      </c>
      <c r="H11" t="s">
        <v>418</v>
      </c>
      <c r="I11" t="s">
        <v>41</v>
      </c>
      <c r="J11" t="s">
        <v>40</v>
      </c>
      <c r="K11">
        <v>1</v>
      </c>
      <c r="L11" s="8">
        <v>1.91</v>
      </c>
      <c r="M11" s="8">
        <v>2.339</v>
      </c>
      <c r="N11" s="8">
        <v>2</v>
      </c>
      <c r="O11" s="8">
        <v>5</v>
      </c>
      <c r="P11" s="8" t="s">
        <v>602</v>
      </c>
      <c r="Q11" s="8" t="s">
        <v>472</v>
      </c>
      <c r="R11" t="str">
        <f t="shared" si="0"/>
        <v>instruction/notask.png</v>
      </c>
    </row>
    <row r="12" spans="1:18" x14ac:dyDescent="0.2">
      <c r="A12">
        <v>21</v>
      </c>
      <c r="B12" t="s">
        <v>359</v>
      </c>
      <c r="C12" t="s">
        <v>363</v>
      </c>
      <c r="D12" t="s">
        <v>360</v>
      </c>
      <c r="E12" t="s">
        <v>858</v>
      </c>
      <c r="F12" t="s">
        <v>603</v>
      </c>
      <c r="G12" t="s">
        <v>420</v>
      </c>
      <c r="H12" t="s">
        <v>421</v>
      </c>
      <c r="I12" t="s">
        <v>48</v>
      </c>
      <c r="J12" t="s">
        <v>45</v>
      </c>
      <c r="K12">
        <v>2</v>
      </c>
      <c r="L12" s="8">
        <v>1.8340000000000001</v>
      </c>
      <c r="M12" s="8">
        <v>2.1440000000000001</v>
      </c>
      <c r="N12" s="8">
        <v>3</v>
      </c>
      <c r="O12" s="8">
        <v>4</v>
      </c>
      <c r="P12" s="8" t="s">
        <v>604</v>
      </c>
      <c r="Q12" s="8" t="s">
        <v>473</v>
      </c>
      <c r="R12" t="str">
        <f t="shared" si="0"/>
        <v>instruction/notask.png</v>
      </c>
    </row>
    <row r="13" spans="1:18" x14ac:dyDescent="0.2">
      <c r="A13">
        <v>23</v>
      </c>
      <c r="B13" t="s">
        <v>359</v>
      </c>
      <c r="C13" t="s">
        <v>362</v>
      </c>
      <c r="D13" t="s">
        <v>360</v>
      </c>
      <c r="E13" t="s">
        <v>859</v>
      </c>
      <c r="F13" t="s">
        <v>605</v>
      </c>
      <c r="G13" t="s">
        <v>423</v>
      </c>
      <c r="H13" t="s">
        <v>424</v>
      </c>
      <c r="I13" t="s">
        <v>69</v>
      </c>
      <c r="J13" t="s">
        <v>70</v>
      </c>
      <c r="K13">
        <v>2</v>
      </c>
      <c r="L13" s="8">
        <v>1.7529999999999999</v>
      </c>
      <c r="M13" s="8">
        <v>2.2000000000000002</v>
      </c>
      <c r="N13" s="8">
        <v>4</v>
      </c>
      <c r="O13" s="8">
        <v>3</v>
      </c>
      <c r="P13" s="8" t="s">
        <v>606</v>
      </c>
      <c r="Q13" s="8" t="s">
        <v>474</v>
      </c>
      <c r="R13" t="str">
        <f t="shared" si="0"/>
        <v>instruction/articulation.png</v>
      </c>
    </row>
    <row r="14" spans="1:18" x14ac:dyDescent="0.2">
      <c r="A14">
        <v>107</v>
      </c>
      <c r="B14" t="s">
        <v>388</v>
      </c>
      <c r="C14" t="s">
        <v>363</v>
      </c>
      <c r="D14" t="s">
        <v>388</v>
      </c>
      <c r="E14" t="s">
        <v>718</v>
      </c>
      <c r="F14" t="s">
        <v>220</v>
      </c>
      <c r="G14" t="s">
        <v>171</v>
      </c>
      <c r="H14" t="s">
        <v>242</v>
      </c>
      <c r="I14" t="s">
        <v>205</v>
      </c>
      <c r="J14" t="s">
        <v>206</v>
      </c>
      <c r="K14">
        <v>1</v>
      </c>
      <c r="L14" s="8">
        <v>1.736</v>
      </c>
      <c r="M14" s="8">
        <v>1.9159999999999999</v>
      </c>
      <c r="N14" s="8">
        <v>2</v>
      </c>
      <c r="O14" s="8">
        <v>6</v>
      </c>
      <c r="P14" s="8" t="s">
        <v>607</v>
      </c>
      <c r="Q14" s="8" t="s">
        <v>608</v>
      </c>
      <c r="R14" t="str">
        <f t="shared" si="0"/>
        <v>instruction/notask.png</v>
      </c>
    </row>
    <row r="15" spans="1:18" x14ac:dyDescent="0.2">
      <c r="A15">
        <v>108</v>
      </c>
      <c r="B15" t="s">
        <v>388</v>
      </c>
      <c r="C15" t="s">
        <v>362</v>
      </c>
      <c r="D15" t="s">
        <v>388</v>
      </c>
      <c r="E15" t="s">
        <v>719</v>
      </c>
      <c r="F15" t="s">
        <v>175</v>
      </c>
      <c r="G15" t="s">
        <v>247</v>
      </c>
      <c r="H15" t="s">
        <v>248</v>
      </c>
      <c r="I15" t="s">
        <v>208</v>
      </c>
      <c r="J15" t="s">
        <v>209</v>
      </c>
      <c r="K15">
        <v>2</v>
      </c>
      <c r="L15" s="8">
        <v>2.0289999999999999</v>
      </c>
      <c r="M15" s="8">
        <v>1.6830000000000001</v>
      </c>
      <c r="N15" s="8">
        <v>3</v>
      </c>
      <c r="O15" s="8">
        <v>5</v>
      </c>
      <c r="P15" s="8" t="s">
        <v>609</v>
      </c>
      <c r="Q15" s="8" t="s">
        <v>610</v>
      </c>
      <c r="R15" t="str">
        <f t="shared" si="0"/>
        <v>instruction/articulation.png</v>
      </c>
    </row>
    <row r="16" spans="1:18" x14ac:dyDescent="0.2">
      <c r="A16">
        <v>109</v>
      </c>
      <c r="B16" t="s">
        <v>388</v>
      </c>
      <c r="C16" t="s">
        <v>363</v>
      </c>
      <c r="D16" t="s">
        <v>388</v>
      </c>
      <c r="E16" t="s">
        <v>720</v>
      </c>
      <c r="F16" t="s">
        <v>200</v>
      </c>
      <c r="G16" t="s">
        <v>243</v>
      </c>
      <c r="H16" t="s">
        <v>244</v>
      </c>
      <c r="I16" t="s">
        <v>152</v>
      </c>
      <c r="J16" t="s">
        <v>208</v>
      </c>
      <c r="K16">
        <v>1</v>
      </c>
      <c r="L16" s="8">
        <v>1.718</v>
      </c>
      <c r="M16" s="8">
        <v>1.6830000000000001</v>
      </c>
      <c r="N16" s="8">
        <v>4</v>
      </c>
      <c r="O16" s="8">
        <v>4</v>
      </c>
      <c r="P16" s="8" t="s">
        <v>611</v>
      </c>
      <c r="Q16" s="8" t="s">
        <v>612</v>
      </c>
      <c r="R16" t="str">
        <f t="shared" si="0"/>
        <v>instruction/notask.png</v>
      </c>
    </row>
    <row r="17" spans="1:18" x14ac:dyDescent="0.2">
      <c r="A17">
        <v>122</v>
      </c>
      <c r="B17" t="s">
        <v>388</v>
      </c>
      <c r="C17" t="s">
        <v>362</v>
      </c>
      <c r="D17" t="s">
        <v>388</v>
      </c>
      <c r="E17" t="s">
        <v>721</v>
      </c>
      <c r="F17" t="s">
        <v>227</v>
      </c>
      <c r="G17" t="s">
        <v>307</v>
      </c>
      <c r="H17" t="s">
        <v>228</v>
      </c>
      <c r="I17" t="s">
        <v>229</v>
      </c>
      <c r="J17" t="s">
        <v>230</v>
      </c>
      <c r="K17">
        <v>2</v>
      </c>
      <c r="L17" s="8">
        <v>1.625</v>
      </c>
      <c r="M17" s="8">
        <v>1.89</v>
      </c>
      <c r="N17" s="8">
        <v>2</v>
      </c>
      <c r="O17" s="8">
        <v>3</v>
      </c>
      <c r="P17" s="8" t="s">
        <v>613</v>
      </c>
      <c r="Q17" s="8" t="s">
        <v>614</v>
      </c>
      <c r="R17" t="str">
        <f t="shared" si="0"/>
        <v>instruction/articulation.png</v>
      </c>
    </row>
    <row r="18" spans="1:18" x14ac:dyDescent="0.2">
      <c r="A18">
        <v>123</v>
      </c>
      <c r="B18" t="s">
        <v>388</v>
      </c>
      <c r="C18" t="s">
        <v>363</v>
      </c>
      <c r="D18" t="s">
        <v>388</v>
      </c>
      <c r="E18" t="s">
        <v>722</v>
      </c>
      <c r="F18" t="s">
        <v>231</v>
      </c>
      <c r="G18" t="s">
        <v>232</v>
      </c>
      <c r="H18" t="s">
        <v>233</v>
      </c>
      <c r="I18" t="s">
        <v>234</v>
      </c>
      <c r="J18" t="s">
        <v>235</v>
      </c>
      <c r="K18">
        <v>1</v>
      </c>
      <c r="L18" s="8">
        <v>2.0139999999999998</v>
      </c>
      <c r="M18" s="8">
        <v>2.0350000000000001</v>
      </c>
      <c r="N18" s="8">
        <v>3</v>
      </c>
      <c r="O18" s="8">
        <v>6</v>
      </c>
      <c r="P18" s="8" t="s">
        <v>615</v>
      </c>
      <c r="Q18" s="8" t="s">
        <v>616</v>
      </c>
      <c r="R18" t="str">
        <f t="shared" si="0"/>
        <v>instruction/notask.png</v>
      </c>
    </row>
    <row r="19" spans="1:18" x14ac:dyDescent="0.2">
      <c r="A19">
        <v>124</v>
      </c>
      <c r="B19" t="s">
        <v>388</v>
      </c>
      <c r="C19" t="s">
        <v>362</v>
      </c>
      <c r="D19" t="s">
        <v>388</v>
      </c>
      <c r="E19" t="s">
        <v>723</v>
      </c>
      <c r="F19" t="s">
        <v>213</v>
      </c>
      <c r="G19" t="s">
        <v>308</v>
      </c>
      <c r="H19" t="s">
        <v>236</v>
      </c>
      <c r="I19" t="s">
        <v>154</v>
      </c>
      <c r="J19" t="s">
        <v>216</v>
      </c>
      <c r="K19">
        <v>2</v>
      </c>
      <c r="L19" s="8">
        <v>1.53</v>
      </c>
      <c r="M19" s="8">
        <v>1.919</v>
      </c>
      <c r="N19" s="8">
        <v>4</v>
      </c>
      <c r="O19" s="8">
        <v>5</v>
      </c>
      <c r="P19" s="8" t="s">
        <v>873</v>
      </c>
      <c r="Q19" s="8" t="s">
        <v>618</v>
      </c>
      <c r="R19" t="str">
        <f t="shared" si="0"/>
        <v>instruction/articulation.png</v>
      </c>
    </row>
    <row r="20" spans="1:18" x14ac:dyDescent="0.2">
      <c r="A20">
        <v>131</v>
      </c>
      <c r="B20" t="s">
        <v>388</v>
      </c>
      <c r="C20" t="s">
        <v>363</v>
      </c>
      <c r="D20" t="s">
        <v>388</v>
      </c>
      <c r="E20" t="s">
        <v>724</v>
      </c>
      <c r="F20" t="s">
        <v>260</v>
      </c>
      <c r="G20" t="s">
        <v>262</v>
      </c>
      <c r="H20" t="s">
        <v>282</v>
      </c>
      <c r="I20" t="s">
        <v>257</v>
      </c>
      <c r="J20" t="s">
        <v>256</v>
      </c>
      <c r="K20">
        <v>1</v>
      </c>
      <c r="L20" s="8">
        <v>1.718</v>
      </c>
      <c r="M20" s="8">
        <v>1.93</v>
      </c>
      <c r="N20" s="8">
        <v>2</v>
      </c>
      <c r="O20" s="8">
        <v>4</v>
      </c>
      <c r="P20" s="8" t="s">
        <v>619</v>
      </c>
      <c r="Q20" s="8" t="s">
        <v>620</v>
      </c>
      <c r="R20" t="str">
        <f t="shared" si="0"/>
        <v>instruction/notask.png</v>
      </c>
    </row>
    <row r="21" spans="1:18" x14ac:dyDescent="0.2">
      <c r="A21">
        <v>132</v>
      </c>
      <c r="B21" t="s">
        <v>388</v>
      </c>
      <c r="C21" t="s">
        <v>362</v>
      </c>
      <c r="D21" t="s">
        <v>388</v>
      </c>
      <c r="E21" t="s">
        <v>725</v>
      </c>
      <c r="F21" t="s">
        <v>271</v>
      </c>
      <c r="G21" t="s">
        <v>263</v>
      </c>
      <c r="H21" t="s">
        <v>264</v>
      </c>
      <c r="I21" t="s">
        <v>155</v>
      </c>
      <c r="J21" t="s">
        <v>156</v>
      </c>
      <c r="K21">
        <v>2</v>
      </c>
      <c r="L21" s="8">
        <v>2.0089999999999999</v>
      </c>
      <c r="M21" s="8">
        <v>2.258</v>
      </c>
      <c r="N21" s="8">
        <v>3</v>
      </c>
      <c r="O21" s="8">
        <v>3</v>
      </c>
      <c r="P21" s="8" t="s">
        <v>621</v>
      </c>
      <c r="Q21" s="8" t="s">
        <v>622</v>
      </c>
      <c r="R21" t="str">
        <f t="shared" si="0"/>
        <v>instruction/articulation.png</v>
      </c>
    </row>
    <row r="22" spans="1:18" x14ac:dyDescent="0.2">
      <c r="A22">
        <v>133</v>
      </c>
      <c r="B22" t="s">
        <v>388</v>
      </c>
      <c r="C22" t="s">
        <v>363</v>
      </c>
      <c r="D22" t="s">
        <v>388</v>
      </c>
      <c r="E22" t="s">
        <v>726</v>
      </c>
      <c r="F22" t="s">
        <v>269</v>
      </c>
      <c r="G22" t="s">
        <v>272</v>
      </c>
      <c r="H22" t="s">
        <v>267</v>
      </c>
      <c r="I22" t="s">
        <v>274</v>
      </c>
      <c r="J22" t="s">
        <v>273</v>
      </c>
      <c r="K22">
        <v>1</v>
      </c>
      <c r="L22" s="8">
        <v>2.1800000000000002</v>
      </c>
      <c r="M22" s="8">
        <v>1.5589999999999999</v>
      </c>
      <c r="N22" s="8">
        <v>4</v>
      </c>
      <c r="O22" s="8">
        <v>6</v>
      </c>
      <c r="P22" s="8" t="s">
        <v>623</v>
      </c>
      <c r="Q22" s="8" t="s">
        <v>624</v>
      </c>
      <c r="R22" t="str">
        <f t="shared" si="0"/>
        <v>instruction/notask.png</v>
      </c>
    </row>
    <row r="23" spans="1:18" x14ac:dyDescent="0.2">
      <c r="A23">
        <v>146</v>
      </c>
      <c r="B23" t="s">
        <v>388</v>
      </c>
      <c r="C23" t="s">
        <v>362</v>
      </c>
      <c r="D23" t="s">
        <v>388</v>
      </c>
      <c r="E23" t="s">
        <v>727</v>
      </c>
      <c r="F23" t="s">
        <v>329</v>
      </c>
      <c r="G23" t="s">
        <v>327</v>
      </c>
      <c r="H23" t="s">
        <v>331</v>
      </c>
      <c r="I23" t="s">
        <v>325</v>
      </c>
      <c r="J23" t="s">
        <v>328</v>
      </c>
      <c r="K23">
        <v>2</v>
      </c>
      <c r="L23" s="8">
        <v>1.988</v>
      </c>
      <c r="M23" s="8">
        <v>1.82</v>
      </c>
      <c r="N23" s="8">
        <v>2</v>
      </c>
      <c r="O23" s="8">
        <v>5</v>
      </c>
      <c r="P23" s="8" t="s">
        <v>625</v>
      </c>
      <c r="Q23" s="8" t="s">
        <v>626</v>
      </c>
      <c r="R23" t="str">
        <f t="shared" si="0"/>
        <v>instruction/articulation.png</v>
      </c>
    </row>
    <row r="24" spans="1:18" x14ac:dyDescent="0.2">
      <c r="A24">
        <v>147</v>
      </c>
      <c r="B24" t="s">
        <v>388</v>
      </c>
      <c r="C24" t="s">
        <v>363</v>
      </c>
      <c r="D24" t="s">
        <v>388</v>
      </c>
      <c r="E24" t="s">
        <v>728</v>
      </c>
      <c r="F24" t="s">
        <v>341</v>
      </c>
      <c r="G24" t="s">
        <v>342</v>
      </c>
      <c r="H24" t="s">
        <v>343</v>
      </c>
      <c r="I24" t="s">
        <v>344</v>
      </c>
      <c r="J24" t="s">
        <v>345</v>
      </c>
      <c r="K24">
        <v>1</v>
      </c>
      <c r="L24" s="8">
        <v>2.0089999999999999</v>
      </c>
      <c r="M24" s="8">
        <v>1.98</v>
      </c>
      <c r="N24" s="8">
        <v>3</v>
      </c>
      <c r="O24" s="8">
        <v>4</v>
      </c>
      <c r="P24" s="8" t="s">
        <v>627</v>
      </c>
      <c r="Q24" s="8" t="s">
        <v>628</v>
      </c>
      <c r="R24" t="str">
        <f t="shared" si="0"/>
        <v>instruction/notask.png</v>
      </c>
    </row>
    <row r="25" spans="1:18" x14ac:dyDescent="0.2">
      <c r="A25">
        <v>148</v>
      </c>
      <c r="B25" t="s">
        <v>388</v>
      </c>
      <c r="C25" t="s">
        <v>362</v>
      </c>
      <c r="D25" t="s">
        <v>388</v>
      </c>
      <c r="E25" t="s">
        <v>729</v>
      </c>
      <c r="F25" t="s">
        <v>346</v>
      </c>
      <c r="G25" t="s">
        <v>347</v>
      </c>
      <c r="H25" t="s">
        <v>348</v>
      </c>
      <c r="I25" t="s">
        <v>349</v>
      </c>
      <c r="J25" t="s">
        <v>253</v>
      </c>
      <c r="K25">
        <v>2</v>
      </c>
      <c r="L25" s="8">
        <v>1.994</v>
      </c>
      <c r="M25" s="8">
        <v>1.718</v>
      </c>
      <c r="N25" s="8">
        <v>4</v>
      </c>
      <c r="O25" s="8">
        <v>3</v>
      </c>
      <c r="P25" s="8" t="s">
        <v>629</v>
      </c>
      <c r="Q25" s="8" t="s">
        <v>630</v>
      </c>
      <c r="R25" t="str">
        <f t="shared" si="0"/>
        <v>instruction/articulation.png</v>
      </c>
    </row>
  </sheetData>
  <phoneticPr fontId="4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9FB30-7A23-42F1-B279-4CDA1791B2FB}">
  <dimension ref="A1:R25"/>
  <sheetViews>
    <sheetView zoomScale="72" zoomScaleNormal="92" workbookViewId="0">
      <pane xSplit="4" topLeftCell="I1" activePane="topRight" state="frozen"/>
      <selection pane="topRight" activeCell="S2" sqref="S2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4" width="13.1640625" style="8" customWidth="1"/>
    <col min="15" max="15" width="15.6640625" style="8" customWidth="1"/>
    <col min="16" max="16" width="25.1640625" customWidth="1"/>
    <col min="17" max="17" width="25.3320312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2</v>
      </c>
      <c r="B2" t="s">
        <v>359</v>
      </c>
      <c r="C2" t="s">
        <v>362</v>
      </c>
      <c r="D2" t="s">
        <v>364</v>
      </c>
      <c r="E2" t="s">
        <v>836</v>
      </c>
      <c r="F2" t="s">
        <v>487</v>
      </c>
      <c r="G2" t="s">
        <v>488</v>
      </c>
      <c r="H2" t="s">
        <v>489</v>
      </c>
      <c r="I2" t="s">
        <v>5</v>
      </c>
      <c r="J2" t="s">
        <v>8</v>
      </c>
      <c r="K2">
        <v>1</v>
      </c>
      <c r="L2" s="8">
        <v>1.7589999999999999</v>
      </c>
      <c r="M2" s="8">
        <v>2.0489999999999999</v>
      </c>
      <c r="N2" s="8">
        <v>2</v>
      </c>
      <c r="O2" s="8">
        <v>6</v>
      </c>
      <c r="P2" s="8" t="s">
        <v>490</v>
      </c>
      <c r="Q2" s="8" t="s">
        <v>491</v>
      </c>
      <c r="R2" t="str">
        <f>IF(C2 = "articulation", "instruction/articulation.png", "instruction/notask.png")</f>
        <v>instruction/articulation.png</v>
      </c>
    </row>
    <row r="3" spans="1:18" x14ac:dyDescent="0.2">
      <c r="A3">
        <v>3</v>
      </c>
      <c r="B3" t="s">
        <v>359</v>
      </c>
      <c r="C3" t="s">
        <v>362</v>
      </c>
      <c r="D3" t="s">
        <v>360</v>
      </c>
      <c r="E3" t="s">
        <v>837</v>
      </c>
      <c r="F3" t="s">
        <v>492</v>
      </c>
      <c r="G3" t="s">
        <v>493</v>
      </c>
      <c r="H3" t="s">
        <v>494</v>
      </c>
      <c r="I3" t="s">
        <v>6</v>
      </c>
      <c r="J3" t="s">
        <v>7</v>
      </c>
      <c r="K3">
        <v>2</v>
      </c>
      <c r="L3" s="8">
        <v>1.64</v>
      </c>
      <c r="M3" s="8">
        <v>2.069</v>
      </c>
      <c r="N3" s="8">
        <v>3</v>
      </c>
      <c r="O3" s="8">
        <v>5</v>
      </c>
      <c r="P3" s="8" t="s">
        <v>495</v>
      </c>
      <c r="Q3" s="8" t="s">
        <v>496</v>
      </c>
      <c r="R3" t="str">
        <f t="shared" ref="R3:R25" si="0">IF(C3 = "articulation", "instruction/articulation.png", "instruction/notask.png")</f>
        <v>instruction/articulation.png</v>
      </c>
    </row>
    <row r="4" spans="1:18" x14ac:dyDescent="0.2">
      <c r="A4">
        <v>5</v>
      </c>
      <c r="B4" t="s">
        <v>366</v>
      </c>
      <c r="C4" t="s">
        <v>362</v>
      </c>
      <c r="D4" t="s">
        <v>364</v>
      </c>
      <c r="E4" t="s">
        <v>838</v>
      </c>
      <c r="F4" t="s">
        <v>497</v>
      </c>
      <c r="G4" t="s">
        <v>498</v>
      </c>
      <c r="H4" t="s">
        <v>499</v>
      </c>
      <c r="I4" t="s">
        <v>13</v>
      </c>
      <c r="J4" t="s">
        <v>12</v>
      </c>
      <c r="K4">
        <v>1</v>
      </c>
      <c r="L4" s="8">
        <v>1.7150000000000001</v>
      </c>
      <c r="M4" s="8">
        <v>2.0750000000000002</v>
      </c>
      <c r="N4" s="8">
        <v>4</v>
      </c>
      <c r="O4" s="8">
        <v>4</v>
      </c>
      <c r="P4" s="8" t="s">
        <v>500</v>
      </c>
      <c r="Q4" s="8" t="s">
        <v>501</v>
      </c>
      <c r="R4" t="str">
        <f t="shared" si="0"/>
        <v>instruction/articulation.png</v>
      </c>
    </row>
    <row r="5" spans="1:18" x14ac:dyDescent="0.2">
      <c r="A5">
        <v>7</v>
      </c>
      <c r="B5" t="s">
        <v>366</v>
      </c>
      <c r="C5" t="s">
        <v>363</v>
      </c>
      <c r="D5" t="s">
        <v>364</v>
      </c>
      <c r="E5" t="s">
        <v>839</v>
      </c>
      <c r="F5" t="s">
        <v>502</v>
      </c>
      <c r="G5" t="s">
        <v>503</v>
      </c>
      <c r="H5" t="s">
        <v>504</v>
      </c>
      <c r="I5" t="s">
        <v>20</v>
      </c>
      <c r="J5" t="s">
        <v>22</v>
      </c>
      <c r="K5">
        <v>1</v>
      </c>
      <c r="L5" s="8">
        <v>1.9159999999999999</v>
      </c>
      <c r="M5" s="8">
        <v>2.395</v>
      </c>
      <c r="N5" s="8">
        <v>2</v>
      </c>
      <c r="O5" s="8">
        <v>3</v>
      </c>
      <c r="P5" s="8" t="s">
        <v>505</v>
      </c>
      <c r="Q5" s="8" t="s">
        <v>506</v>
      </c>
      <c r="R5" t="str">
        <f t="shared" si="0"/>
        <v>instruction/notask.png</v>
      </c>
    </row>
    <row r="6" spans="1:18" x14ac:dyDescent="0.2">
      <c r="A6">
        <v>9</v>
      </c>
      <c r="B6" t="s">
        <v>359</v>
      </c>
      <c r="C6" t="s">
        <v>363</v>
      </c>
      <c r="D6" t="s">
        <v>360</v>
      </c>
      <c r="E6" t="s">
        <v>840</v>
      </c>
      <c r="F6" t="s">
        <v>507</v>
      </c>
      <c r="G6" t="s">
        <v>508</v>
      </c>
      <c r="H6" t="s">
        <v>509</v>
      </c>
      <c r="I6" t="s">
        <v>60</v>
      </c>
      <c r="J6" t="s">
        <v>59</v>
      </c>
      <c r="K6">
        <v>2</v>
      </c>
      <c r="L6" s="8">
        <v>1.675</v>
      </c>
      <c r="M6" s="8">
        <v>2.165</v>
      </c>
      <c r="N6" s="8">
        <v>3</v>
      </c>
      <c r="O6" s="8">
        <v>6</v>
      </c>
      <c r="P6" s="8" t="s">
        <v>510</v>
      </c>
      <c r="Q6" s="8" t="s">
        <v>511</v>
      </c>
      <c r="R6" t="str">
        <f t="shared" si="0"/>
        <v>instruction/notask.png</v>
      </c>
    </row>
    <row r="7" spans="1:18" x14ac:dyDescent="0.2">
      <c r="A7">
        <v>12</v>
      </c>
      <c r="B7" t="s">
        <v>359</v>
      </c>
      <c r="C7" t="s">
        <v>363</v>
      </c>
      <c r="D7" t="s">
        <v>364</v>
      </c>
      <c r="E7" t="s">
        <v>841</v>
      </c>
      <c r="F7" t="s">
        <v>512</v>
      </c>
      <c r="G7" t="s">
        <v>513</v>
      </c>
      <c r="H7" t="s">
        <v>514</v>
      </c>
      <c r="I7" t="s">
        <v>32</v>
      </c>
      <c r="J7" t="s">
        <v>33</v>
      </c>
      <c r="K7">
        <v>1</v>
      </c>
      <c r="L7" s="8">
        <v>1.9159999999999999</v>
      </c>
      <c r="M7" s="8">
        <v>1.98</v>
      </c>
      <c r="N7" s="8">
        <v>4</v>
      </c>
      <c r="O7" s="8">
        <v>5</v>
      </c>
      <c r="P7" s="8" t="s">
        <v>515</v>
      </c>
      <c r="Q7" s="8" t="s">
        <v>516</v>
      </c>
      <c r="R7" t="str">
        <f t="shared" si="0"/>
        <v>instruction/notask.png</v>
      </c>
    </row>
    <row r="8" spans="1:18" x14ac:dyDescent="0.2">
      <c r="A8">
        <v>14</v>
      </c>
      <c r="B8" t="s">
        <v>366</v>
      </c>
      <c r="C8" t="s">
        <v>363</v>
      </c>
      <c r="D8" t="s">
        <v>360</v>
      </c>
      <c r="E8" t="s">
        <v>842</v>
      </c>
      <c r="F8" t="s">
        <v>517</v>
      </c>
      <c r="G8" t="s">
        <v>518</v>
      </c>
      <c r="H8" t="s">
        <v>519</v>
      </c>
      <c r="I8" t="s">
        <v>54</v>
      </c>
      <c r="J8" t="s">
        <v>55</v>
      </c>
      <c r="K8">
        <v>2</v>
      </c>
      <c r="L8" s="8">
        <v>1.579</v>
      </c>
      <c r="M8" s="8">
        <v>2.194</v>
      </c>
      <c r="N8" s="8">
        <v>2</v>
      </c>
      <c r="O8" s="8">
        <v>4</v>
      </c>
      <c r="P8" s="8" t="s">
        <v>520</v>
      </c>
      <c r="Q8" s="8" t="s">
        <v>521</v>
      </c>
      <c r="R8" t="str">
        <f t="shared" si="0"/>
        <v>instruction/notask.png</v>
      </c>
    </row>
    <row r="9" spans="1:18" x14ac:dyDescent="0.2">
      <c r="A9">
        <v>16</v>
      </c>
      <c r="B9" t="s">
        <v>366</v>
      </c>
      <c r="C9" t="s">
        <v>362</v>
      </c>
      <c r="D9" t="s">
        <v>360</v>
      </c>
      <c r="E9" t="s">
        <v>843</v>
      </c>
      <c r="F9" t="s">
        <v>522</v>
      </c>
      <c r="G9" t="s">
        <v>523</v>
      </c>
      <c r="H9" t="s">
        <v>524</v>
      </c>
      <c r="I9" t="s">
        <v>49</v>
      </c>
      <c r="J9" t="s">
        <v>50</v>
      </c>
      <c r="K9">
        <v>2</v>
      </c>
      <c r="L9" s="8">
        <v>1.466</v>
      </c>
      <c r="M9" s="8">
        <v>2.02</v>
      </c>
      <c r="N9" s="8">
        <v>3</v>
      </c>
      <c r="O9" s="8">
        <v>3</v>
      </c>
      <c r="P9" s="8" t="s">
        <v>525</v>
      </c>
      <c r="Q9" s="8" t="s">
        <v>526</v>
      </c>
      <c r="R9" t="str">
        <f t="shared" si="0"/>
        <v>instruction/articulation.png</v>
      </c>
    </row>
    <row r="10" spans="1:18" x14ac:dyDescent="0.2">
      <c r="A10">
        <v>18</v>
      </c>
      <c r="B10" t="s">
        <v>359</v>
      </c>
      <c r="C10" t="s">
        <v>362</v>
      </c>
      <c r="D10" t="s">
        <v>364</v>
      </c>
      <c r="E10" t="s">
        <v>844</v>
      </c>
      <c r="F10" t="s">
        <v>527</v>
      </c>
      <c r="G10" t="s">
        <v>528</v>
      </c>
      <c r="H10" t="s">
        <v>529</v>
      </c>
      <c r="I10" t="s">
        <v>37</v>
      </c>
      <c r="J10" t="s">
        <v>38</v>
      </c>
      <c r="K10">
        <v>1</v>
      </c>
      <c r="L10" s="8">
        <v>1.7150000000000001</v>
      </c>
      <c r="M10" s="8">
        <v>2.4900000000000002</v>
      </c>
      <c r="N10" s="8">
        <v>4</v>
      </c>
      <c r="O10" s="8">
        <v>6</v>
      </c>
      <c r="P10" s="8" t="s">
        <v>530</v>
      </c>
      <c r="Q10" s="8" t="s">
        <v>531</v>
      </c>
      <c r="R10" t="str">
        <f t="shared" si="0"/>
        <v>instruction/articulation.png</v>
      </c>
    </row>
    <row r="11" spans="1:18" x14ac:dyDescent="0.2">
      <c r="A11">
        <v>20</v>
      </c>
      <c r="B11" t="s">
        <v>359</v>
      </c>
      <c r="C11" t="s">
        <v>363</v>
      </c>
      <c r="D11" t="s">
        <v>364</v>
      </c>
      <c r="E11" t="s">
        <v>845</v>
      </c>
      <c r="F11" t="s">
        <v>532</v>
      </c>
      <c r="G11" t="s">
        <v>533</v>
      </c>
      <c r="H11" t="s">
        <v>534</v>
      </c>
      <c r="I11" t="s">
        <v>47</v>
      </c>
      <c r="J11" t="s">
        <v>44</v>
      </c>
      <c r="K11">
        <v>1</v>
      </c>
      <c r="L11" s="8">
        <v>1.7789999999999999</v>
      </c>
      <c r="M11" s="8">
        <v>2.331</v>
      </c>
      <c r="N11" s="8">
        <v>2</v>
      </c>
      <c r="O11" s="8">
        <v>5</v>
      </c>
      <c r="P11" s="8" t="s">
        <v>535</v>
      </c>
      <c r="Q11" s="8" t="s">
        <v>536</v>
      </c>
      <c r="R11" t="str">
        <f t="shared" si="0"/>
        <v>instruction/notask.png</v>
      </c>
    </row>
    <row r="12" spans="1:18" x14ac:dyDescent="0.2">
      <c r="A12">
        <v>22</v>
      </c>
      <c r="B12" t="s">
        <v>366</v>
      </c>
      <c r="C12" t="s">
        <v>363</v>
      </c>
      <c r="D12" t="s">
        <v>360</v>
      </c>
      <c r="E12" t="s">
        <v>846</v>
      </c>
      <c r="F12" t="s">
        <v>537</v>
      </c>
      <c r="G12" t="s">
        <v>538</v>
      </c>
      <c r="H12" t="s">
        <v>539</v>
      </c>
      <c r="I12" t="s">
        <v>65</v>
      </c>
      <c r="J12" t="s">
        <v>66</v>
      </c>
      <c r="K12">
        <v>2</v>
      </c>
      <c r="L12" s="8">
        <v>1.736</v>
      </c>
      <c r="M12" s="8">
        <v>2.2839999999999998</v>
      </c>
      <c r="N12" s="8">
        <v>3</v>
      </c>
      <c r="O12" s="8">
        <v>4</v>
      </c>
      <c r="P12" s="8" t="s">
        <v>540</v>
      </c>
      <c r="Q12" s="8" t="s">
        <v>541</v>
      </c>
      <c r="R12" t="str">
        <f t="shared" si="0"/>
        <v>instruction/notask.png</v>
      </c>
    </row>
    <row r="13" spans="1:18" x14ac:dyDescent="0.2">
      <c r="A13">
        <v>24</v>
      </c>
      <c r="B13" t="s">
        <v>366</v>
      </c>
      <c r="C13" t="s">
        <v>362</v>
      </c>
      <c r="D13" t="s">
        <v>360</v>
      </c>
      <c r="E13" t="s">
        <v>847</v>
      </c>
      <c r="F13" t="s">
        <v>542</v>
      </c>
      <c r="G13" t="s">
        <v>543</v>
      </c>
      <c r="H13" t="s">
        <v>544</v>
      </c>
      <c r="I13" t="s">
        <v>71</v>
      </c>
      <c r="J13" t="s">
        <v>73</v>
      </c>
      <c r="K13">
        <v>2</v>
      </c>
      <c r="L13" s="8">
        <v>1.5589999999999999</v>
      </c>
      <c r="M13" s="8">
        <v>2.3540000000000001</v>
      </c>
      <c r="N13" s="8">
        <v>4</v>
      </c>
      <c r="O13" s="8">
        <v>3</v>
      </c>
      <c r="P13" s="8" t="s">
        <v>545</v>
      </c>
      <c r="Q13" s="8" t="s">
        <v>546</v>
      </c>
      <c r="R13" t="str">
        <f t="shared" si="0"/>
        <v>instruction/articulation.png</v>
      </c>
    </row>
    <row r="14" spans="1:18" x14ac:dyDescent="0.2">
      <c r="A14">
        <v>104</v>
      </c>
      <c r="B14" t="s">
        <v>388</v>
      </c>
      <c r="C14" t="s">
        <v>363</v>
      </c>
      <c r="D14" t="s">
        <v>388</v>
      </c>
      <c r="E14" t="s">
        <v>706</v>
      </c>
      <c r="F14" t="s">
        <v>161</v>
      </c>
      <c r="G14" t="s">
        <v>179</v>
      </c>
      <c r="H14" t="s">
        <v>162</v>
      </c>
      <c r="I14" t="s">
        <v>164</v>
      </c>
      <c r="J14" t="s">
        <v>163</v>
      </c>
      <c r="K14">
        <v>2</v>
      </c>
      <c r="L14" s="8">
        <v>1.8080000000000001</v>
      </c>
      <c r="M14" s="8">
        <v>2.04</v>
      </c>
      <c r="N14" s="8">
        <v>2</v>
      </c>
      <c r="O14" s="8">
        <v>6</v>
      </c>
      <c r="P14" s="8" t="s">
        <v>547</v>
      </c>
      <c r="Q14" s="8" t="s">
        <v>548</v>
      </c>
      <c r="R14" t="str">
        <f t="shared" si="0"/>
        <v>instruction/notask.png</v>
      </c>
    </row>
    <row r="15" spans="1:18" x14ac:dyDescent="0.2">
      <c r="A15">
        <v>105</v>
      </c>
      <c r="B15" t="s">
        <v>388</v>
      </c>
      <c r="C15" t="s">
        <v>362</v>
      </c>
      <c r="D15" t="s">
        <v>388</v>
      </c>
      <c r="E15" t="s">
        <v>707</v>
      </c>
      <c r="F15" t="s">
        <v>222</v>
      </c>
      <c r="G15" t="s">
        <v>178</v>
      </c>
      <c r="H15" t="s">
        <v>158</v>
      </c>
      <c r="I15" t="s">
        <v>160</v>
      </c>
      <c r="J15" t="s">
        <v>159</v>
      </c>
      <c r="K15">
        <v>1</v>
      </c>
      <c r="L15" s="8">
        <v>1.3089999999999999</v>
      </c>
      <c r="M15" s="8">
        <v>2.0960000000000001</v>
      </c>
      <c r="N15" s="8">
        <v>3</v>
      </c>
      <c r="O15" s="8">
        <v>5</v>
      </c>
      <c r="P15" s="8" t="s">
        <v>549</v>
      </c>
      <c r="Q15" s="8" t="s">
        <v>550</v>
      </c>
      <c r="R15" t="str">
        <f t="shared" si="0"/>
        <v>instruction/articulation.png</v>
      </c>
    </row>
    <row r="16" spans="1:18" x14ac:dyDescent="0.2">
      <c r="A16">
        <v>106</v>
      </c>
      <c r="B16" t="s">
        <v>388</v>
      </c>
      <c r="C16" t="s">
        <v>363</v>
      </c>
      <c r="D16" t="s">
        <v>388</v>
      </c>
      <c r="E16" t="s">
        <v>708</v>
      </c>
      <c r="F16" t="s">
        <v>169</v>
      </c>
      <c r="G16" t="s">
        <v>165</v>
      </c>
      <c r="H16" t="s">
        <v>166</v>
      </c>
      <c r="I16" t="s">
        <v>168</v>
      </c>
      <c r="J16" t="s">
        <v>167</v>
      </c>
      <c r="K16">
        <v>2</v>
      </c>
      <c r="L16" s="8">
        <v>1.704</v>
      </c>
      <c r="M16" s="8">
        <v>1.718</v>
      </c>
      <c r="N16" s="8">
        <v>4</v>
      </c>
      <c r="O16" s="8">
        <v>4</v>
      </c>
      <c r="P16" s="8" t="s">
        <v>551</v>
      </c>
      <c r="Q16" s="8" t="s">
        <v>552</v>
      </c>
      <c r="R16" t="str">
        <f t="shared" si="0"/>
        <v>instruction/notask.png</v>
      </c>
    </row>
    <row r="17" spans="1:18" x14ac:dyDescent="0.2">
      <c r="A17">
        <v>113</v>
      </c>
      <c r="B17" t="s">
        <v>388</v>
      </c>
      <c r="C17" t="s">
        <v>362</v>
      </c>
      <c r="D17" t="s">
        <v>388</v>
      </c>
      <c r="E17" t="s">
        <v>709</v>
      </c>
      <c r="F17" t="s">
        <v>184</v>
      </c>
      <c r="G17" t="s">
        <v>185</v>
      </c>
      <c r="H17" t="s">
        <v>188</v>
      </c>
      <c r="I17" t="s">
        <v>186</v>
      </c>
      <c r="J17" t="s">
        <v>187</v>
      </c>
      <c r="K17">
        <v>1</v>
      </c>
      <c r="L17" s="8">
        <v>1.84</v>
      </c>
      <c r="M17" s="8">
        <v>1.591</v>
      </c>
      <c r="N17" s="8">
        <v>2</v>
      </c>
      <c r="O17" s="8">
        <v>3</v>
      </c>
      <c r="P17" s="8" t="s">
        <v>553</v>
      </c>
      <c r="Q17" s="8" t="s">
        <v>554</v>
      </c>
      <c r="R17" t="str">
        <f t="shared" si="0"/>
        <v>instruction/articulation.png</v>
      </c>
    </row>
    <row r="18" spans="1:18" x14ac:dyDescent="0.2">
      <c r="A18">
        <v>114</v>
      </c>
      <c r="B18" t="s">
        <v>388</v>
      </c>
      <c r="C18" t="s">
        <v>363</v>
      </c>
      <c r="D18" t="s">
        <v>388</v>
      </c>
      <c r="E18" t="s">
        <v>710</v>
      </c>
      <c r="F18" t="s">
        <v>249</v>
      </c>
      <c r="G18" t="s">
        <v>250</v>
      </c>
      <c r="H18" t="s">
        <v>189</v>
      </c>
      <c r="I18" t="s">
        <v>191</v>
      </c>
      <c r="J18" t="s">
        <v>190</v>
      </c>
      <c r="K18">
        <v>2</v>
      </c>
      <c r="L18" s="8">
        <v>1.593</v>
      </c>
      <c r="M18" s="8">
        <v>1.9450000000000001</v>
      </c>
      <c r="N18" s="8">
        <v>3</v>
      </c>
      <c r="O18" s="8">
        <v>6</v>
      </c>
      <c r="P18" s="8" t="s">
        <v>555</v>
      </c>
      <c r="Q18" s="8" t="s">
        <v>556</v>
      </c>
      <c r="R18" t="str">
        <f t="shared" si="0"/>
        <v>instruction/notask.png</v>
      </c>
    </row>
    <row r="19" spans="1:18" x14ac:dyDescent="0.2">
      <c r="A19">
        <v>115</v>
      </c>
      <c r="B19" t="s">
        <v>388</v>
      </c>
      <c r="C19" t="s">
        <v>362</v>
      </c>
      <c r="D19" t="s">
        <v>388</v>
      </c>
      <c r="E19" t="s">
        <v>711</v>
      </c>
      <c r="F19" t="s">
        <v>224</v>
      </c>
      <c r="G19" t="s">
        <v>223</v>
      </c>
      <c r="H19" t="s">
        <v>225</v>
      </c>
      <c r="I19" t="s">
        <v>226</v>
      </c>
      <c r="J19" t="s">
        <v>153</v>
      </c>
      <c r="K19">
        <v>1</v>
      </c>
      <c r="L19" s="8">
        <v>1.71</v>
      </c>
      <c r="M19" s="8">
        <v>2.0230000000000001</v>
      </c>
      <c r="N19" s="8">
        <v>4</v>
      </c>
      <c r="O19" s="8">
        <v>5</v>
      </c>
      <c r="P19" s="8" t="s">
        <v>557</v>
      </c>
      <c r="Q19" s="8" t="s">
        <v>558</v>
      </c>
      <c r="R19" t="str">
        <f t="shared" si="0"/>
        <v>instruction/articulation.png</v>
      </c>
    </row>
    <row r="20" spans="1:18" x14ac:dyDescent="0.2">
      <c r="A20">
        <v>128</v>
      </c>
      <c r="B20" t="s">
        <v>388</v>
      </c>
      <c r="C20" t="s">
        <v>363</v>
      </c>
      <c r="D20" t="s">
        <v>388</v>
      </c>
      <c r="E20" t="s">
        <v>712</v>
      </c>
      <c r="F20" t="s">
        <v>297</v>
      </c>
      <c r="G20" t="s">
        <v>298</v>
      </c>
      <c r="H20" t="s">
        <v>299</v>
      </c>
      <c r="I20" t="s">
        <v>296</v>
      </c>
      <c r="J20" t="s">
        <v>151</v>
      </c>
      <c r="K20">
        <v>2</v>
      </c>
      <c r="L20" s="8">
        <v>1.9159999999999999</v>
      </c>
      <c r="M20" s="8">
        <v>1.794</v>
      </c>
      <c r="N20" s="8">
        <v>2</v>
      </c>
      <c r="O20" s="8">
        <v>4</v>
      </c>
      <c r="P20" s="8" t="s">
        <v>559</v>
      </c>
      <c r="Q20" s="8" t="s">
        <v>560</v>
      </c>
      <c r="R20" t="str">
        <f t="shared" si="0"/>
        <v>instruction/notask.png</v>
      </c>
    </row>
    <row r="21" spans="1:18" x14ac:dyDescent="0.2">
      <c r="A21">
        <v>129</v>
      </c>
      <c r="B21" t="s">
        <v>388</v>
      </c>
      <c r="C21" t="s">
        <v>362</v>
      </c>
      <c r="D21" t="s">
        <v>388</v>
      </c>
      <c r="E21" t="s">
        <v>713</v>
      </c>
      <c r="F21" t="s">
        <v>277</v>
      </c>
      <c r="G21" t="s">
        <v>278</v>
      </c>
      <c r="H21" t="s">
        <v>279</v>
      </c>
      <c r="I21" t="s">
        <v>276</v>
      </c>
      <c r="J21" t="s">
        <v>275</v>
      </c>
      <c r="K21">
        <v>1</v>
      </c>
      <c r="L21" s="8">
        <v>2.2290000000000001</v>
      </c>
      <c r="M21" s="8">
        <v>1.869</v>
      </c>
      <c r="N21" s="8">
        <v>3</v>
      </c>
      <c r="O21" s="8">
        <v>3</v>
      </c>
      <c r="P21" s="8" t="s">
        <v>561</v>
      </c>
      <c r="Q21" s="8" t="s">
        <v>562</v>
      </c>
      <c r="R21" t="str">
        <f t="shared" si="0"/>
        <v>instruction/articulation.png</v>
      </c>
    </row>
    <row r="22" spans="1:18" x14ac:dyDescent="0.2">
      <c r="A22">
        <v>130</v>
      </c>
      <c r="B22" t="s">
        <v>388</v>
      </c>
      <c r="C22" t="s">
        <v>363</v>
      </c>
      <c r="D22" t="s">
        <v>388</v>
      </c>
      <c r="E22" t="s">
        <v>714</v>
      </c>
      <c r="F22" t="s">
        <v>285</v>
      </c>
      <c r="G22" t="s">
        <v>286</v>
      </c>
      <c r="H22" t="s">
        <v>287</v>
      </c>
      <c r="I22" t="s">
        <v>288</v>
      </c>
      <c r="J22" t="s">
        <v>289</v>
      </c>
      <c r="K22">
        <v>2</v>
      </c>
      <c r="L22" s="8">
        <v>2.0960000000000001</v>
      </c>
      <c r="M22" s="8">
        <v>1.855</v>
      </c>
      <c r="N22" s="8">
        <v>4</v>
      </c>
      <c r="O22" s="8">
        <v>6</v>
      </c>
      <c r="P22" s="8" t="s">
        <v>563</v>
      </c>
      <c r="Q22" s="8" t="s">
        <v>564</v>
      </c>
      <c r="R22" t="str">
        <f t="shared" si="0"/>
        <v>instruction/notask.png</v>
      </c>
    </row>
    <row r="23" spans="1:18" x14ac:dyDescent="0.2">
      <c r="A23">
        <v>137</v>
      </c>
      <c r="B23" t="s">
        <v>388</v>
      </c>
      <c r="C23" t="s">
        <v>362</v>
      </c>
      <c r="D23" t="s">
        <v>388</v>
      </c>
      <c r="E23" t="s">
        <v>715</v>
      </c>
      <c r="F23" t="s">
        <v>309</v>
      </c>
      <c r="G23" t="s">
        <v>310</v>
      </c>
      <c r="H23" t="s">
        <v>311</v>
      </c>
      <c r="I23" t="s">
        <v>312</v>
      </c>
      <c r="J23" t="s">
        <v>313</v>
      </c>
      <c r="K23">
        <v>1</v>
      </c>
      <c r="L23" s="8">
        <v>1.9590000000000001</v>
      </c>
      <c r="M23" s="8">
        <v>1.5089999999999999</v>
      </c>
      <c r="N23" s="8">
        <v>2</v>
      </c>
      <c r="O23" s="8">
        <v>5</v>
      </c>
      <c r="P23" s="8" t="s">
        <v>565</v>
      </c>
      <c r="Q23" s="8" t="s">
        <v>566</v>
      </c>
      <c r="R23" t="str">
        <f t="shared" si="0"/>
        <v>instruction/articulation.png</v>
      </c>
    </row>
    <row r="24" spans="1:18" x14ac:dyDescent="0.2">
      <c r="A24">
        <v>138</v>
      </c>
      <c r="B24" t="s">
        <v>388</v>
      </c>
      <c r="C24" t="s">
        <v>363</v>
      </c>
      <c r="D24" t="s">
        <v>388</v>
      </c>
      <c r="E24" t="s">
        <v>716</v>
      </c>
      <c r="F24" t="s">
        <v>316</v>
      </c>
      <c r="G24" t="s">
        <v>317</v>
      </c>
      <c r="H24" t="s">
        <v>322</v>
      </c>
      <c r="I24" t="s">
        <v>318</v>
      </c>
      <c r="J24" t="s">
        <v>319</v>
      </c>
      <c r="K24">
        <v>2</v>
      </c>
      <c r="L24" s="8">
        <v>1.895</v>
      </c>
      <c r="M24" s="8">
        <v>1.8340000000000001</v>
      </c>
      <c r="N24" s="8">
        <v>3</v>
      </c>
      <c r="O24" s="8">
        <v>4</v>
      </c>
      <c r="P24" s="8" t="s">
        <v>567</v>
      </c>
      <c r="Q24" s="8" t="s">
        <v>568</v>
      </c>
      <c r="R24" t="str">
        <f t="shared" si="0"/>
        <v>instruction/notask.png</v>
      </c>
    </row>
    <row r="25" spans="1:18" x14ac:dyDescent="0.2">
      <c r="A25">
        <v>139</v>
      </c>
      <c r="B25" t="s">
        <v>388</v>
      </c>
      <c r="C25" t="s">
        <v>362</v>
      </c>
      <c r="D25" t="s">
        <v>388</v>
      </c>
      <c r="E25" t="s">
        <v>717</v>
      </c>
      <c r="F25" t="s">
        <v>354</v>
      </c>
      <c r="G25" t="s">
        <v>350</v>
      </c>
      <c r="H25" t="s">
        <v>351</v>
      </c>
      <c r="I25" t="s">
        <v>353</v>
      </c>
      <c r="J25" t="s">
        <v>352</v>
      </c>
      <c r="K25">
        <v>1</v>
      </c>
      <c r="L25" s="8">
        <v>1.9590000000000001</v>
      </c>
      <c r="M25" s="8">
        <v>2.069</v>
      </c>
      <c r="N25" s="8">
        <v>4</v>
      </c>
      <c r="O25" s="8">
        <v>3</v>
      </c>
      <c r="P25" s="8" t="s">
        <v>569</v>
      </c>
      <c r="Q25" s="8" t="s">
        <v>570</v>
      </c>
      <c r="R25" t="str">
        <f t="shared" si="0"/>
        <v>instruction/articulation.png</v>
      </c>
    </row>
  </sheetData>
  <phoneticPr fontId="4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7C342-9E18-4180-A309-EAD7953EFF62}">
  <dimension ref="A1:R25"/>
  <sheetViews>
    <sheetView zoomScale="72" zoomScaleNormal="92" workbookViewId="0">
      <pane xSplit="4" topLeftCell="H1" activePane="topRight" state="frozen"/>
      <selection pane="topRight" activeCell="O2" sqref="O2:O25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4" width="13.1640625" style="8" customWidth="1"/>
    <col min="15" max="15" width="15.6640625" style="8" customWidth="1"/>
    <col min="16" max="16" width="25.1640625" customWidth="1"/>
    <col min="17" max="17" width="25.3320312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1</v>
      </c>
      <c r="B2" t="s">
        <v>359</v>
      </c>
      <c r="C2" t="s">
        <v>363</v>
      </c>
      <c r="D2" t="s">
        <v>360</v>
      </c>
      <c r="E2" t="s">
        <v>824</v>
      </c>
      <c r="F2" t="s">
        <v>389</v>
      </c>
      <c r="G2" t="s">
        <v>390</v>
      </c>
      <c r="H2" t="s">
        <v>391</v>
      </c>
      <c r="I2" t="s">
        <v>2</v>
      </c>
      <c r="J2" t="s">
        <v>0</v>
      </c>
      <c r="K2">
        <v>2</v>
      </c>
      <c r="L2" s="8">
        <v>1.6830000000000001</v>
      </c>
      <c r="M2" s="8">
        <v>2.3250000000000002</v>
      </c>
      <c r="N2" s="8">
        <v>2</v>
      </c>
      <c r="O2" s="8">
        <v>6</v>
      </c>
      <c r="P2" s="8" t="s">
        <v>426</v>
      </c>
      <c r="Q2" s="8" t="s">
        <v>463</v>
      </c>
      <c r="R2" t="str">
        <f>IF(C2 = "articulation", "instruction/articulation.png", "instruction/notask.png")</f>
        <v>instruction/notask.png</v>
      </c>
    </row>
    <row r="3" spans="1:18" x14ac:dyDescent="0.2">
      <c r="A3">
        <v>4</v>
      </c>
      <c r="B3" t="s">
        <v>359</v>
      </c>
      <c r="C3" t="s">
        <v>363</v>
      </c>
      <c r="D3" t="s">
        <v>364</v>
      </c>
      <c r="E3" t="s">
        <v>825</v>
      </c>
      <c r="F3" t="s">
        <v>392</v>
      </c>
      <c r="G3" t="s">
        <v>393</v>
      </c>
      <c r="H3" t="s">
        <v>394</v>
      </c>
      <c r="I3" t="s">
        <v>53</v>
      </c>
      <c r="J3" t="s">
        <v>10</v>
      </c>
      <c r="K3">
        <v>1</v>
      </c>
      <c r="L3" s="8">
        <v>1.5089999999999999</v>
      </c>
      <c r="M3" s="8">
        <v>2.601</v>
      </c>
      <c r="N3" s="8">
        <v>3</v>
      </c>
      <c r="O3" s="8">
        <v>5</v>
      </c>
      <c r="P3" s="8" t="s">
        <v>427</v>
      </c>
      <c r="Q3" s="8" t="s">
        <v>464</v>
      </c>
      <c r="R3" t="str">
        <f t="shared" ref="R3:R25" si="0">IF(C3 = "articulation", "instruction/articulation.png", "instruction/notask.png")</f>
        <v>instruction/notask.png</v>
      </c>
    </row>
    <row r="4" spans="1:18" x14ac:dyDescent="0.2">
      <c r="A4">
        <v>6</v>
      </c>
      <c r="B4" t="s">
        <v>366</v>
      </c>
      <c r="C4" t="s">
        <v>363</v>
      </c>
      <c r="D4" t="s">
        <v>360</v>
      </c>
      <c r="E4" t="s">
        <v>826</v>
      </c>
      <c r="F4" t="s">
        <v>395</v>
      </c>
      <c r="G4" t="s">
        <v>396</v>
      </c>
      <c r="H4" t="s">
        <v>397</v>
      </c>
      <c r="I4" t="s">
        <v>15</v>
      </c>
      <c r="J4" t="s">
        <v>16</v>
      </c>
      <c r="K4">
        <v>2</v>
      </c>
      <c r="L4" s="8">
        <v>1.8979999999999999</v>
      </c>
      <c r="M4" s="8">
        <v>2.2989999999999999</v>
      </c>
      <c r="N4" s="8">
        <v>4</v>
      </c>
      <c r="O4" s="8">
        <v>4</v>
      </c>
      <c r="P4" s="8" t="s">
        <v>428</v>
      </c>
      <c r="Q4" s="8" t="s">
        <v>465</v>
      </c>
      <c r="R4" t="str">
        <f t="shared" si="0"/>
        <v>instruction/notask.png</v>
      </c>
    </row>
    <row r="5" spans="1:18" x14ac:dyDescent="0.2">
      <c r="A5">
        <v>8</v>
      </c>
      <c r="B5" t="s">
        <v>366</v>
      </c>
      <c r="C5" t="s">
        <v>362</v>
      </c>
      <c r="D5" t="s">
        <v>360</v>
      </c>
      <c r="E5" t="s">
        <v>827</v>
      </c>
      <c r="F5" t="s">
        <v>398</v>
      </c>
      <c r="G5" t="s">
        <v>399</v>
      </c>
      <c r="H5" t="s">
        <v>400</v>
      </c>
      <c r="I5" t="s">
        <v>23</v>
      </c>
      <c r="J5" t="s">
        <v>18</v>
      </c>
      <c r="K5">
        <v>2</v>
      </c>
      <c r="L5" s="8">
        <v>1.8260000000000001</v>
      </c>
      <c r="M5" s="8">
        <v>2.2410000000000001</v>
      </c>
      <c r="N5" s="8">
        <v>2</v>
      </c>
      <c r="O5" s="8">
        <v>3</v>
      </c>
      <c r="P5" s="8" t="s">
        <v>429</v>
      </c>
      <c r="Q5" s="8" t="s">
        <v>466</v>
      </c>
      <c r="R5" t="str">
        <f t="shared" si="0"/>
        <v>instruction/articulation.png</v>
      </c>
    </row>
    <row r="6" spans="1:18" x14ac:dyDescent="0.2">
      <c r="A6">
        <v>10</v>
      </c>
      <c r="B6" t="s">
        <v>359</v>
      </c>
      <c r="C6" t="s">
        <v>362</v>
      </c>
      <c r="D6" t="s">
        <v>364</v>
      </c>
      <c r="E6" t="s">
        <v>828</v>
      </c>
      <c r="F6" t="s">
        <v>401</v>
      </c>
      <c r="G6" t="s">
        <v>402</v>
      </c>
      <c r="H6" t="s">
        <v>403</v>
      </c>
      <c r="I6" t="s">
        <v>26</v>
      </c>
      <c r="J6" t="s">
        <v>24</v>
      </c>
      <c r="K6">
        <v>1</v>
      </c>
      <c r="L6" s="8">
        <v>1.7529999999999999</v>
      </c>
      <c r="M6" s="8">
        <v>2.3479999999999999</v>
      </c>
      <c r="N6" s="8">
        <v>3</v>
      </c>
      <c r="O6" s="8">
        <v>6</v>
      </c>
      <c r="P6" s="8" t="s">
        <v>430</v>
      </c>
      <c r="Q6" s="8" t="s">
        <v>467</v>
      </c>
      <c r="R6" t="str">
        <f t="shared" si="0"/>
        <v>instruction/articulation.png</v>
      </c>
    </row>
    <row r="7" spans="1:18" x14ac:dyDescent="0.2">
      <c r="A7">
        <v>11</v>
      </c>
      <c r="B7" t="s">
        <v>359</v>
      </c>
      <c r="C7" t="s">
        <v>362</v>
      </c>
      <c r="D7" t="s">
        <v>360</v>
      </c>
      <c r="E7" t="s">
        <v>829</v>
      </c>
      <c r="F7" t="s">
        <v>404</v>
      </c>
      <c r="G7" t="s">
        <v>405</v>
      </c>
      <c r="H7" t="s">
        <v>406</v>
      </c>
      <c r="I7" t="s">
        <v>28</v>
      </c>
      <c r="J7" t="s">
        <v>27</v>
      </c>
      <c r="K7">
        <v>2</v>
      </c>
      <c r="L7" s="8">
        <v>1.585</v>
      </c>
      <c r="M7" s="8">
        <v>2.3450000000000002</v>
      </c>
      <c r="N7" s="8">
        <v>4</v>
      </c>
      <c r="O7" s="8">
        <v>5</v>
      </c>
      <c r="P7" s="8" t="s">
        <v>431</v>
      </c>
      <c r="Q7" s="8" t="s">
        <v>468</v>
      </c>
      <c r="R7" t="str">
        <f t="shared" si="0"/>
        <v>instruction/articulation.png</v>
      </c>
    </row>
    <row r="8" spans="1:18" x14ac:dyDescent="0.2">
      <c r="A8">
        <v>13</v>
      </c>
      <c r="B8" t="s">
        <v>366</v>
      </c>
      <c r="C8" t="s">
        <v>362</v>
      </c>
      <c r="D8" t="s">
        <v>364</v>
      </c>
      <c r="E8" t="s">
        <v>830</v>
      </c>
      <c r="F8" t="s">
        <v>407</v>
      </c>
      <c r="G8" t="s">
        <v>408</v>
      </c>
      <c r="H8" t="s">
        <v>409</v>
      </c>
      <c r="I8" t="s">
        <v>36</v>
      </c>
      <c r="J8" t="s">
        <v>35</v>
      </c>
      <c r="K8">
        <v>1</v>
      </c>
      <c r="L8" s="8">
        <v>1.7729999999999999</v>
      </c>
      <c r="M8" s="8">
        <v>1.9710000000000001</v>
      </c>
      <c r="N8" s="8">
        <v>2</v>
      </c>
      <c r="O8" s="8">
        <v>4</v>
      </c>
      <c r="P8" s="8" t="s">
        <v>432</v>
      </c>
      <c r="Q8" s="8" t="s">
        <v>469</v>
      </c>
      <c r="R8" t="str">
        <f t="shared" si="0"/>
        <v>instruction/articulation.png</v>
      </c>
    </row>
    <row r="9" spans="1:18" x14ac:dyDescent="0.2">
      <c r="A9">
        <v>15</v>
      </c>
      <c r="B9" t="s">
        <v>366</v>
      </c>
      <c r="C9" t="s">
        <v>363</v>
      </c>
      <c r="D9" t="s">
        <v>364</v>
      </c>
      <c r="E9" t="s">
        <v>831</v>
      </c>
      <c r="F9" t="s">
        <v>410</v>
      </c>
      <c r="G9" t="s">
        <v>411</v>
      </c>
      <c r="H9" t="s">
        <v>412</v>
      </c>
      <c r="I9" t="s">
        <v>58</v>
      </c>
      <c r="J9" t="s">
        <v>57</v>
      </c>
      <c r="K9">
        <v>1</v>
      </c>
      <c r="L9" s="8">
        <v>1.425</v>
      </c>
      <c r="M9" s="8">
        <v>2.56</v>
      </c>
      <c r="N9" s="8">
        <v>3</v>
      </c>
      <c r="O9" s="8">
        <v>3</v>
      </c>
      <c r="P9" s="8" t="s">
        <v>433</v>
      </c>
      <c r="Q9" s="8" t="s">
        <v>470</v>
      </c>
      <c r="R9" t="str">
        <f t="shared" si="0"/>
        <v>instruction/notask.png</v>
      </c>
    </row>
    <row r="10" spans="1:18" x14ac:dyDescent="0.2">
      <c r="A10">
        <v>17</v>
      </c>
      <c r="B10" t="s">
        <v>359</v>
      </c>
      <c r="C10" t="s">
        <v>363</v>
      </c>
      <c r="D10" t="s">
        <v>360</v>
      </c>
      <c r="E10" t="s">
        <v>832</v>
      </c>
      <c r="F10" t="s">
        <v>413</v>
      </c>
      <c r="G10" t="s">
        <v>414</v>
      </c>
      <c r="H10" t="s">
        <v>415</v>
      </c>
      <c r="I10" t="s">
        <v>63</v>
      </c>
      <c r="J10" t="s">
        <v>62</v>
      </c>
      <c r="K10">
        <v>2</v>
      </c>
      <c r="L10" s="8">
        <v>1.44</v>
      </c>
      <c r="M10" s="8">
        <v>2.11</v>
      </c>
      <c r="N10" s="8">
        <v>4</v>
      </c>
      <c r="O10" s="8">
        <v>6</v>
      </c>
      <c r="P10" s="8" t="s">
        <v>434</v>
      </c>
      <c r="Q10" s="8" t="s">
        <v>471</v>
      </c>
      <c r="R10" t="str">
        <f t="shared" si="0"/>
        <v>instruction/notask.png</v>
      </c>
    </row>
    <row r="11" spans="1:18" x14ac:dyDescent="0.2">
      <c r="A11">
        <v>19</v>
      </c>
      <c r="B11" t="s">
        <v>359</v>
      </c>
      <c r="C11" t="s">
        <v>362</v>
      </c>
      <c r="D11" t="s">
        <v>360</v>
      </c>
      <c r="E11" t="s">
        <v>833</v>
      </c>
      <c r="F11" t="s">
        <v>416</v>
      </c>
      <c r="G11" t="s">
        <v>417</v>
      </c>
      <c r="H11" t="s">
        <v>418</v>
      </c>
      <c r="I11" t="s">
        <v>41</v>
      </c>
      <c r="J11" t="s">
        <v>40</v>
      </c>
      <c r="K11">
        <v>2</v>
      </c>
      <c r="L11" s="8">
        <v>1.9239999999999999</v>
      </c>
      <c r="M11" s="8">
        <v>2.339</v>
      </c>
      <c r="N11" s="8">
        <v>2</v>
      </c>
      <c r="O11" s="8">
        <v>5</v>
      </c>
      <c r="P11" s="8" t="s">
        <v>435</v>
      </c>
      <c r="Q11" s="8" t="s">
        <v>472</v>
      </c>
      <c r="R11" t="str">
        <f t="shared" si="0"/>
        <v>instruction/articulation.png</v>
      </c>
    </row>
    <row r="12" spans="1:18" x14ac:dyDescent="0.2">
      <c r="A12">
        <v>21</v>
      </c>
      <c r="B12" t="s">
        <v>366</v>
      </c>
      <c r="C12" t="s">
        <v>362</v>
      </c>
      <c r="D12" t="s">
        <v>364</v>
      </c>
      <c r="E12" t="s">
        <v>834</v>
      </c>
      <c r="F12" t="s">
        <v>419</v>
      </c>
      <c r="G12" t="s">
        <v>420</v>
      </c>
      <c r="H12" t="s">
        <v>421</v>
      </c>
      <c r="I12" t="s">
        <v>48</v>
      </c>
      <c r="J12" t="s">
        <v>45</v>
      </c>
      <c r="K12">
        <v>1</v>
      </c>
      <c r="L12" s="8">
        <v>1.849</v>
      </c>
      <c r="M12" s="8">
        <v>2.1440000000000001</v>
      </c>
      <c r="N12" s="8">
        <v>3</v>
      </c>
      <c r="O12" s="8">
        <v>4</v>
      </c>
      <c r="P12" s="8" t="s">
        <v>436</v>
      </c>
      <c r="Q12" s="8" t="s">
        <v>473</v>
      </c>
      <c r="R12" t="str">
        <f t="shared" si="0"/>
        <v>instruction/articulation.png</v>
      </c>
    </row>
    <row r="13" spans="1:18" x14ac:dyDescent="0.2">
      <c r="A13">
        <v>23</v>
      </c>
      <c r="B13" t="s">
        <v>366</v>
      </c>
      <c r="C13" t="s">
        <v>363</v>
      </c>
      <c r="D13" t="s">
        <v>364</v>
      </c>
      <c r="E13" t="s">
        <v>835</v>
      </c>
      <c r="F13" t="s">
        <v>422</v>
      </c>
      <c r="G13" t="s">
        <v>423</v>
      </c>
      <c r="H13" t="s">
        <v>424</v>
      </c>
      <c r="I13" t="s">
        <v>69</v>
      </c>
      <c r="J13" t="s">
        <v>70</v>
      </c>
      <c r="K13">
        <v>1</v>
      </c>
      <c r="L13" s="8">
        <v>1.7390000000000001</v>
      </c>
      <c r="M13" s="8">
        <v>2.2000000000000002</v>
      </c>
      <c r="N13" s="8">
        <v>4</v>
      </c>
      <c r="O13" s="8">
        <v>3</v>
      </c>
      <c r="P13" s="8" t="s">
        <v>437</v>
      </c>
      <c r="Q13" s="8" t="s">
        <v>474</v>
      </c>
      <c r="R13" t="str">
        <f t="shared" si="0"/>
        <v>instruction/notask.png</v>
      </c>
    </row>
    <row r="14" spans="1:18" x14ac:dyDescent="0.2">
      <c r="A14">
        <v>101</v>
      </c>
      <c r="B14" t="s">
        <v>388</v>
      </c>
      <c r="C14" t="s">
        <v>363</v>
      </c>
      <c r="D14" t="s">
        <v>388</v>
      </c>
      <c r="E14" t="s">
        <v>694</v>
      </c>
      <c r="F14" t="s">
        <v>220</v>
      </c>
      <c r="G14" t="s">
        <v>221</v>
      </c>
      <c r="H14" t="s">
        <v>204</v>
      </c>
      <c r="I14" t="s">
        <v>205</v>
      </c>
      <c r="J14" t="s">
        <v>206</v>
      </c>
      <c r="K14">
        <v>1</v>
      </c>
      <c r="L14" s="8">
        <v>1.736</v>
      </c>
      <c r="M14" s="8">
        <v>2.1509999999999998</v>
      </c>
      <c r="N14" s="8">
        <v>2</v>
      </c>
      <c r="O14" s="8">
        <v>6</v>
      </c>
      <c r="P14" s="8" t="s">
        <v>439</v>
      </c>
      <c r="Q14" s="8" t="s">
        <v>440</v>
      </c>
      <c r="R14" t="str">
        <f t="shared" si="0"/>
        <v>instruction/notask.png</v>
      </c>
    </row>
    <row r="15" spans="1:18" x14ac:dyDescent="0.2">
      <c r="A15">
        <v>102</v>
      </c>
      <c r="B15" t="s">
        <v>388</v>
      </c>
      <c r="C15" t="s">
        <v>362</v>
      </c>
      <c r="D15" t="s">
        <v>388</v>
      </c>
      <c r="E15" t="s">
        <v>695</v>
      </c>
      <c r="F15" t="s">
        <v>175</v>
      </c>
      <c r="G15" t="s">
        <v>180</v>
      </c>
      <c r="H15" t="s">
        <v>207</v>
      </c>
      <c r="I15" t="s">
        <v>208</v>
      </c>
      <c r="J15" t="s">
        <v>209</v>
      </c>
      <c r="K15">
        <v>2</v>
      </c>
      <c r="L15" s="8">
        <v>2.0289999999999999</v>
      </c>
      <c r="M15" s="8">
        <v>1.605</v>
      </c>
      <c r="N15" s="8">
        <v>3</v>
      </c>
      <c r="O15" s="8">
        <v>5</v>
      </c>
      <c r="P15" s="8" t="s">
        <v>441</v>
      </c>
      <c r="Q15" s="8" t="s">
        <v>442</v>
      </c>
      <c r="R15" t="str">
        <f t="shared" si="0"/>
        <v>instruction/articulation.png</v>
      </c>
    </row>
    <row r="16" spans="1:18" x14ac:dyDescent="0.2">
      <c r="A16">
        <v>103</v>
      </c>
      <c r="B16" t="s">
        <v>388</v>
      </c>
      <c r="C16" t="s">
        <v>363</v>
      </c>
      <c r="D16" t="s">
        <v>388</v>
      </c>
      <c r="E16" t="s">
        <v>696</v>
      </c>
      <c r="F16" t="s">
        <v>200</v>
      </c>
      <c r="G16" t="s">
        <v>201</v>
      </c>
      <c r="H16" t="s">
        <v>202</v>
      </c>
      <c r="I16" t="s">
        <v>152</v>
      </c>
      <c r="J16" t="s">
        <v>203</v>
      </c>
      <c r="K16">
        <v>1</v>
      </c>
      <c r="L16" s="8">
        <v>1.718</v>
      </c>
      <c r="M16" s="8">
        <v>1.4279999999999999</v>
      </c>
      <c r="N16" s="8">
        <v>4</v>
      </c>
      <c r="O16" s="8">
        <v>4</v>
      </c>
      <c r="P16" s="8" t="s">
        <v>443</v>
      </c>
      <c r="Q16" s="8" t="s">
        <v>444</v>
      </c>
      <c r="R16" t="str">
        <f t="shared" si="0"/>
        <v>instruction/notask.png</v>
      </c>
    </row>
    <row r="17" spans="1:18" x14ac:dyDescent="0.2">
      <c r="A17">
        <v>116</v>
      </c>
      <c r="B17" t="s">
        <v>388</v>
      </c>
      <c r="C17" t="s">
        <v>362</v>
      </c>
      <c r="D17" t="s">
        <v>388</v>
      </c>
      <c r="E17" t="s">
        <v>697</v>
      </c>
      <c r="F17" t="s">
        <v>251</v>
      </c>
      <c r="G17" t="s">
        <v>252</v>
      </c>
      <c r="H17" t="s">
        <v>192</v>
      </c>
      <c r="I17" t="s">
        <v>194</v>
      </c>
      <c r="J17" t="s">
        <v>193</v>
      </c>
      <c r="K17">
        <v>2</v>
      </c>
      <c r="L17" s="8">
        <v>1.736</v>
      </c>
      <c r="M17" s="8">
        <v>2.0489999999999999</v>
      </c>
      <c r="N17" s="8">
        <v>2</v>
      </c>
      <c r="O17" s="8">
        <v>3</v>
      </c>
      <c r="P17" s="8" t="s">
        <v>445</v>
      </c>
      <c r="Q17" s="8" t="s">
        <v>446</v>
      </c>
      <c r="R17" t="str">
        <f t="shared" si="0"/>
        <v>instruction/articulation.png</v>
      </c>
    </row>
    <row r="18" spans="1:18" x14ac:dyDescent="0.2">
      <c r="A18">
        <v>117</v>
      </c>
      <c r="B18" t="s">
        <v>388</v>
      </c>
      <c r="C18" t="s">
        <v>363</v>
      </c>
      <c r="D18" t="s">
        <v>388</v>
      </c>
      <c r="E18" t="s">
        <v>698</v>
      </c>
      <c r="F18" t="s">
        <v>195</v>
      </c>
      <c r="G18" t="s">
        <v>196</v>
      </c>
      <c r="H18" t="s">
        <v>197</v>
      </c>
      <c r="I18" t="s">
        <v>198</v>
      </c>
      <c r="J18" t="s">
        <v>199</v>
      </c>
      <c r="K18">
        <v>1</v>
      </c>
      <c r="L18" s="8">
        <v>2.258</v>
      </c>
      <c r="M18" s="8">
        <v>1.698</v>
      </c>
      <c r="N18" s="8">
        <v>3</v>
      </c>
      <c r="O18" s="8">
        <v>6</v>
      </c>
      <c r="P18" s="8" t="s">
        <v>447</v>
      </c>
      <c r="Q18" s="8" t="s">
        <v>448</v>
      </c>
      <c r="R18" t="str">
        <f t="shared" si="0"/>
        <v>instruction/notask.png</v>
      </c>
    </row>
    <row r="19" spans="1:18" x14ac:dyDescent="0.2">
      <c r="A19">
        <v>118</v>
      </c>
      <c r="B19" t="s">
        <v>388</v>
      </c>
      <c r="C19" t="s">
        <v>362</v>
      </c>
      <c r="D19" t="s">
        <v>388</v>
      </c>
      <c r="E19" t="s">
        <v>699</v>
      </c>
      <c r="F19" t="s">
        <v>213</v>
      </c>
      <c r="G19" t="s">
        <v>214</v>
      </c>
      <c r="H19" t="s">
        <v>215</v>
      </c>
      <c r="I19" t="s">
        <v>154</v>
      </c>
      <c r="J19" t="s">
        <v>216</v>
      </c>
      <c r="K19">
        <v>2</v>
      </c>
      <c r="L19" s="8">
        <v>1.53</v>
      </c>
      <c r="M19" s="8">
        <v>1.9330000000000001</v>
      </c>
      <c r="N19" s="8">
        <v>4</v>
      </c>
      <c r="O19" s="8">
        <v>5</v>
      </c>
      <c r="P19" s="8" t="s">
        <v>449</v>
      </c>
      <c r="Q19" s="8" t="s">
        <v>450</v>
      </c>
      <c r="R19" t="str">
        <f t="shared" si="0"/>
        <v>instruction/articulation.png</v>
      </c>
    </row>
    <row r="20" spans="1:18" x14ac:dyDescent="0.2">
      <c r="A20">
        <v>125</v>
      </c>
      <c r="B20" t="s">
        <v>388</v>
      </c>
      <c r="C20" t="s">
        <v>363</v>
      </c>
      <c r="D20" t="s">
        <v>388</v>
      </c>
      <c r="E20" t="s">
        <v>700</v>
      </c>
      <c r="F20" t="s">
        <v>254</v>
      </c>
      <c r="G20" t="s">
        <v>261</v>
      </c>
      <c r="H20" t="s">
        <v>255</v>
      </c>
      <c r="I20" t="s">
        <v>256</v>
      </c>
      <c r="J20" t="s">
        <v>257</v>
      </c>
      <c r="K20">
        <v>1</v>
      </c>
      <c r="L20" s="8">
        <v>1.863</v>
      </c>
      <c r="M20" s="8">
        <v>2.145</v>
      </c>
      <c r="N20" s="8">
        <v>2</v>
      </c>
      <c r="O20" s="8">
        <v>4</v>
      </c>
      <c r="P20" s="8" t="s">
        <v>451</v>
      </c>
      <c r="Q20" s="8" t="s">
        <v>452</v>
      </c>
      <c r="R20" t="str">
        <f t="shared" si="0"/>
        <v>instruction/notask.png</v>
      </c>
    </row>
    <row r="21" spans="1:18" x14ac:dyDescent="0.2">
      <c r="A21">
        <v>126</v>
      </c>
      <c r="B21" t="s">
        <v>388</v>
      </c>
      <c r="C21" t="s">
        <v>362</v>
      </c>
      <c r="D21" t="s">
        <v>388</v>
      </c>
      <c r="E21" t="s">
        <v>701</v>
      </c>
      <c r="F21" t="s">
        <v>270</v>
      </c>
      <c r="G21" t="s">
        <v>258</v>
      </c>
      <c r="H21" t="s">
        <v>265</v>
      </c>
      <c r="I21" t="s">
        <v>157</v>
      </c>
      <c r="J21" t="s">
        <v>259</v>
      </c>
      <c r="K21">
        <v>2</v>
      </c>
      <c r="L21" s="8">
        <v>1.91</v>
      </c>
      <c r="M21" s="8">
        <v>2.1739999999999999</v>
      </c>
      <c r="N21" s="8">
        <v>3</v>
      </c>
      <c r="O21" s="8">
        <v>3</v>
      </c>
      <c r="P21" s="8" t="s">
        <v>453</v>
      </c>
      <c r="Q21" s="8" t="s">
        <v>454</v>
      </c>
      <c r="R21" t="str">
        <f t="shared" si="0"/>
        <v>instruction/articulation.png</v>
      </c>
    </row>
    <row r="22" spans="1:18" x14ac:dyDescent="0.2">
      <c r="A22">
        <v>127</v>
      </c>
      <c r="B22" t="s">
        <v>388</v>
      </c>
      <c r="C22" t="s">
        <v>363</v>
      </c>
      <c r="D22" t="s">
        <v>388</v>
      </c>
      <c r="E22" t="s">
        <v>702</v>
      </c>
      <c r="F22" t="s">
        <v>290</v>
      </c>
      <c r="G22" t="s">
        <v>266</v>
      </c>
      <c r="H22" t="s">
        <v>267</v>
      </c>
      <c r="I22" t="s">
        <v>291</v>
      </c>
      <c r="J22" t="s">
        <v>268</v>
      </c>
      <c r="K22">
        <v>1</v>
      </c>
      <c r="L22" s="8">
        <v>2.1509999999999998</v>
      </c>
      <c r="M22" s="8">
        <v>1.7849999999999999</v>
      </c>
      <c r="N22" s="8">
        <v>4</v>
      </c>
      <c r="O22" s="8">
        <v>6</v>
      </c>
      <c r="P22" s="8" t="s">
        <v>455</v>
      </c>
      <c r="Q22" s="8" t="s">
        <v>456</v>
      </c>
      <c r="R22" t="str">
        <f t="shared" si="0"/>
        <v>instruction/notask.png</v>
      </c>
    </row>
    <row r="23" spans="1:18" x14ac:dyDescent="0.2">
      <c r="A23">
        <v>140</v>
      </c>
      <c r="B23" t="s">
        <v>388</v>
      </c>
      <c r="C23" t="s">
        <v>362</v>
      </c>
      <c r="D23" t="s">
        <v>388</v>
      </c>
      <c r="E23" t="s">
        <v>703</v>
      </c>
      <c r="F23" t="s">
        <v>326</v>
      </c>
      <c r="G23" t="s">
        <v>327</v>
      </c>
      <c r="H23" t="s">
        <v>330</v>
      </c>
      <c r="I23" t="s">
        <v>328</v>
      </c>
      <c r="J23" t="s">
        <v>325</v>
      </c>
      <c r="K23">
        <v>2</v>
      </c>
      <c r="L23" s="8">
        <v>2.2349999999999999</v>
      </c>
      <c r="M23" s="8">
        <v>1.82</v>
      </c>
      <c r="N23" s="8">
        <v>2</v>
      </c>
      <c r="O23" s="8">
        <v>5</v>
      </c>
      <c r="P23" s="8" t="s">
        <v>457</v>
      </c>
      <c r="Q23" s="8" t="s">
        <v>458</v>
      </c>
      <c r="R23" t="str">
        <f t="shared" si="0"/>
        <v>instruction/articulation.png</v>
      </c>
    </row>
    <row r="24" spans="1:18" x14ac:dyDescent="0.2">
      <c r="A24">
        <v>141</v>
      </c>
      <c r="B24" t="s">
        <v>388</v>
      </c>
      <c r="C24" t="s">
        <v>363</v>
      </c>
      <c r="D24" t="s">
        <v>388</v>
      </c>
      <c r="E24" t="s">
        <v>704</v>
      </c>
      <c r="F24" t="s">
        <v>332</v>
      </c>
      <c r="G24" t="s">
        <v>340</v>
      </c>
      <c r="H24" t="s">
        <v>343</v>
      </c>
      <c r="I24" t="s">
        <v>333</v>
      </c>
      <c r="J24" t="s">
        <v>334</v>
      </c>
      <c r="K24">
        <v>1</v>
      </c>
      <c r="L24" s="8">
        <v>2.04</v>
      </c>
      <c r="M24" s="8">
        <v>1.9850000000000001</v>
      </c>
      <c r="N24" s="8">
        <v>3</v>
      </c>
      <c r="O24" s="8">
        <v>4</v>
      </c>
      <c r="P24" s="8" t="s">
        <v>459</v>
      </c>
      <c r="Q24" s="8" t="s">
        <v>460</v>
      </c>
      <c r="R24" t="str">
        <f t="shared" si="0"/>
        <v>instruction/notask.png</v>
      </c>
    </row>
    <row r="25" spans="1:18" x14ac:dyDescent="0.2">
      <c r="A25">
        <v>142</v>
      </c>
      <c r="B25" t="s">
        <v>388</v>
      </c>
      <c r="C25" t="s">
        <v>362</v>
      </c>
      <c r="D25" t="s">
        <v>388</v>
      </c>
      <c r="E25" t="s">
        <v>705</v>
      </c>
      <c r="F25" t="s">
        <v>335</v>
      </c>
      <c r="G25" t="s">
        <v>336</v>
      </c>
      <c r="H25" t="s">
        <v>337</v>
      </c>
      <c r="I25" t="s">
        <v>338</v>
      </c>
      <c r="J25" t="s">
        <v>339</v>
      </c>
      <c r="K25">
        <v>2</v>
      </c>
      <c r="L25" s="8">
        <v>2.1190000000000002</v>
      </c>
      <c r="M25" s="8">
        <v>1.724</v>
      </c>
      <c r="N25" s="8">
        <v>4</v>
      </c>
      <c r="O25" s="8">
        <v>3</v>
      </c>
      <c r="P25" s="8" t="s">
        <v>461</v>
      </c>
      <c r="Q25" s="8" t="s">
        <v>462</v>
      </c>
      <c r="R25" t="str">
        <f t="shared" si="0"/>
        <v>instruction/articulation.png</v>
      </c>
    </row>
  </sheetData>
  <phoneticPr fontId="4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D9C37-AF57-4A00-B124-55FB865577B6}">
  <dimension ref="A1:R25"/>
  <sheetViews>
    <sheetView zoomScale="72" zoomScaleNormal="92" workbookViewId="0">
      <pane xSplit="4" topLeftCell="I1" activePane="topRight" state="frozen"/>
      <selection pane="topRight" activeCell="O2" sqref="O2:O25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4" width="13.1640625" style="8" customWidth="1"/>
    <col min="15" max="15" width="15.6640625" style="8" customWidth="1"/>
    <col min="16" max="16" width="25.1640625" customWidth="1"/>
    <col min="17" max="17" width="25.3320312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2</v>
      </c>
      <c r="B2" t="s">
        <v>366</v>
      </c>
      <c r="C2" t="s">
        <v>363</v>
      </c>
      <c r="D2" t="s">
        <v>364</v>
      </c>
      <c r="E2" t="s">
        <v>812</v>
      </c>
      <c r="F2" t="s">
        <v>645</v>
      </c>
      <c r="G2" t="s">
        <v>488</v>
      </c>
      <c r="H2" t="s">
        <v>489</v>
      </c>
      <c r="I2" t="s">
        <v>8</v>
      </c>
      <c r="J2" t="s">
        <v>5</v>
      </c>
      <c r="K2">
        <v>1</v>
      </c>
      <c r="L2" s="8">
        <v>1.89</v>
      </c>
      <c r="M2" s="8">
        <v>2.0489999999999999</v>
      </c>
      <c r="N2" s="8">
        <v>2</v>
      </c>
      <c r="O2" s="8">
        <v>6</v>
      </c>
      <c r="P2" s="8" t="s">
        <v>646</v>
      </c>
      <c r="Q2" s="8" t="s">
        <v>491</v>
      </c>
      <c r="R2" t="str">
        <f>IF(C2 = "articulation", "instruction/articulation.png", "instruction/notask.png")</f>
        <v>instruction/notask.png</v>
      </c>
    </row>
    <row r="3" spans="1:18" x14ac:dyDescent="0.2">
      <c r="A3">
        <v>3</v>
      </c>
      <c r="B3" t="s">
        <v>366</v>
      </c>
      <c r="C3" t="s">
        <v>362</v>
      </c>
      <c r="D3" t="s">
        <v>360</v>
      </c>
      <c r="E3" t="s">
        <v>813</v>
      </c>
      <c r="F3" t="s">
        <v>647</v>
      </c>
      <c r="G3" t="s">
        <v>493</v>
      </c>
      <c r="H3" t="s">
        <v>494</v>
      </c>
      <c r="I3" t="s">
        <v>7</v>
      </c>
      <c r="J3" t="s">
        <v>6</v>
      </c>
      <c r="K3">
        <v>2</v>
      </c>
      <c r="L3" s="8">
        <v>1.579</v>
      </c>
      <c r="M3" s="8">
        <v>2.069</v>
      </c>
      <c r="N3" s="8">
        <v>3</v>
      </c>
      <c r="O3" s="8">
        <v>5</v>
      </c>
      <c r="P3" s="8" t="s">
        <v>648</v>
      </c>
      <c r="Q3" s="8" t="s">
        <v>496</v>
      </c>
      <c r="R3" t="str">
        <f t="shared" ref="R3:R25" si="0">IF(C3 = "articulation", "instruction/articulation.png", "instruction/notask.png")</f>
        <v>instruction/articulation.png</v>
      </c>
    </row>
    <row r="4" spans="1:18" x14ac:dyDescent="0.2">
      <c r="A4">
        <v>5</v>
      </c>
      <c r="B4" t="s">
        <v>359</v>
      </c>
      <c r="C4" t="s">
        <v>362</v>
      </c>
      <c r="D4" t="s">
        <v>364</v>
      </c>
      <c r="E4" t="s">
        <v>814</v>
      </c>
      <c r="F4" t="s">
        <v>649</v>
      </c>
      <c r="G4" t="s">
        <v>498</v>
      </c>
      <c r="H4" t="s">
        <v>499</v>
      </c>
      <c r="I4" t="s">
        <v>12</v>
      </c>
      <c r="J4" t="s">
        <v>13</v>
      </c>
      <c r="K4">
        <v>1</v>
      </c>
      <c r="L4" s="8">
        <v>1.7529999999999999</v>
      </c>
      <c r="M4" s="8">
        <v>2.0750000000000002</v>
      </c>
      <c r="N4" s="8">
        <v>4</v>
      </c>
      <c r="O4" s="8">
        <v>4</v>
      </c>
      <c r="P4" s="8" t="s">
        <v>650</v>
      </c>
      <c r="Q4" s="8" t="s">
        <v>501</v>
      </c>
      <c r="R4" t="str">
        <f t="shared" si="0"/>
        <v>instruction/articulation.png</v>
      </c>
    </row>
    <row r="5" spans="1:18" x14ac:dyDescent="0.2">
      <c r="A5">
        <v>7</v>
      </c>
      <c r="B5" t="s">
        <v>359</v>
      </c>
      <c r="C5" t="s">
        <v>363</v>
      </c>
      <c r="D5" t="s">
        <v>364</v>
      </c>
      <c r="E5" t="s">
        <v>815</v>
      </c>
      <c r="F5" t="s">
        <v>651</v>
      </c>
      <c r="G5" t="s">
        <v>503</v>
      </c>
      <c r="H5" t="s">
        <v>504</v>
      </c>
      <c r="I5" t="s">
        <v>22</v>
      </c>
      <c r="J5" t="s">
        <v>20</v>
      </c>
      <c r="K5">
        <v>1</v>
      </c>
      <c r="L5" s="8">
        <v>1.91</v>
      </c>
      <c r="M5" s="8">
        <v>2.395</v>
      </c>
      <c r="N5" s="8">
        <v>2</v>
      </c>
      <c r="O5" s="8">
        <v>3</v>
      </c>
      <c r="P5" s="8" t="s">
        <v>652</v>
      </c>
      <c r="Q5" s="8" t="s">
        <v>506</v>
      </c>
      <c r="R5" t="str">
        <f t="shared" si="0"/>
        <v>instruction/notask.png</v>
      </c>
    </row>
    <row r="6" spans="1:18" x14ac:dyDescent="0.2">
      <c r="A6">
        <v>9</v>
      </c>
      <c r="B6" t="s">
        <v>366</v>
      </c>
      <c r="C6" t="s">
        <v>363</v>
      </c>
      <c r="D6" t="s">
        <v>360</v>
      </c>
      <c r="E6" t="s">
        <v>816</v>
      </c>
      <c r="F6" t="s">
        <v>653</v>
      </c>
      <c r="G6" t="s">
        <v>508</v>
      </c>
      <c r="H6" t="s">
        <v>509</v>
      </c>
      <c r="I6" t="s">
        <v>59</v>
      </c>
      <c r="J6" t="s">
        <v>60</v>
      </c>
      <c r="K6">
        <v>2</v>
      </c>
      <c r="L6" s="8">
        <v>1.7150000000000001</v>
      </c>
      <c r="M6" s="8">
        <v>2.165</v>
      </c>
      <c r="N6" s="8">
        <v>3</v>
      </c>
      <c r="O6" s="8">
        <v>6</v>
      </c>
      <c r="P6" s="8" t="s">
        <v>654</v>
      </c>
      <c r="Q6" s="8" t="s">
        <v>511</v>
      </c>
      <c r="R6" t="str">
        <f t="shared" si="0"/>
        <v>instruction/notask.png</v>
      </c>
    </row>
    <row r="7" spans="1:18" x14ac:dyDescent="0.2">
      <c r="A7">
        <v>12</v>
      </c>
      <c r="B7" t="s">
        <v>366</v>
      </c>
      <c r="C7" t="s">
        <v>362</v>
      </c>
      <c r="D7" t="s">
        <v>364</v>
      </c>
      <c r="E7" t="s">
        <v>817</v>
      </c>
      <c r="F7" t="s">
        <v>655</v>
      </c>
      <c r="G7" t="s">
        <v>513</v>
      </c>
      <c r="H7" t="s">
        <v>514</v>
      </c>
      <c r="I7" t="s">
        <v>33</v>
      </c>
      <c r="J7" t="s">
        <v>32</v>
      </c>
      <c r="K7">
        <v>1</v>
      </c>
      <c r="L7" s="8">
        <v>1.9710000000000001</v>
      </c>
      <c r="M7" s="8">
        <v>1.98</v>
      </c>
      <c r="N7" s="8">
        <v>4</v>
      </c>
      <c r="O7" s="8">
        <v>5</v>
      </c>
      <c r="P7" s="8" t="s">
        <v>656</v>
      </c>
      <c r="Q7" s="8" t="s">
        <v>516</v>
      </c>
      <c r="R7" t="str">
        <f t="shared" si="0"/>
        <v>instruction/articulation.png</v>
      </c>
    </row>
    <row r="8" spans="1:18" x14ac:dyDescent="0.2">
      <c r="A8">
        <v>14</v>
      </c>
      <c r="B8" t="s">
        <v>359</v>
      </c>
      <c r="C8" t="s">
        <v>362</v>
      </c>
      <c r="D8" t="s">
        <v>360</v>
      </c>
      <c r="E8" t="s">
        <v>818</v>
      </c>
      <c r="F8" t="s">
        <v>657</v>
      </c>
      <c r="G8" t="s">
        <v>518</v>
      </c>
      <c r="H8" t="s">
        <v>519</v>
      </c>
      <c r="I8" t="s">
        <v>55</v>
      </c>
      <c r="J8" t="s">
        <v>54</v>
      </c>
      <c r="K8">
        <v>2</v>
      </c>
      <c r="L8" s="8">
        <v>1.663</v>
      </c>
      <c r="M8" s="8">
        <v>2.194</v>
      </c>
      <c r="N8" s="8">
        <v>2</v>
      </c>
      <c r="O8" s="8">
        <v>4</v>
      </c>
      <c r="P8" s="8" t="s">
        <v>658</v>
      </c>
      <c r="Q8" s="8" t="s">
        <v>521</v>
      </c>
      <c r="R8" t="str">
        <f t="shared" si="0"/>
        <v>instruction/articulation.png</v>
      </c>
    </row>
    <row r="9" spans="1:18" x14ac:dyDescent="0.2">
      <c r="A9">
        <v>16</v>
      </c>
      <c r="B9" t="s">
        <v>359</v>
      </c>
      <c r="C9" t="s">
        <v>363</v>
      </c>
      <c r="D9" t="s">
        <v>360</v>
      </c>
      <c r="E9" t="s">
        <v>819</v>
      </c>
      <c r="F9" t="s">
        <v>659</v>
      </c>
      <c r="G9" t="s">
        <v>523</v>
      </c>
      <c r="H9" t="s">
        <v>524</v>
      </c>
      <c r="I9" t="s">
        <v>50</v>
      </c>
      <c r="J9" t="s">
        <v>49</v>
      </c>
      <c r="K9">
        <v>2</v>
      </c>
      <c r="L9" s="8">
        <v>1.405</v>
      </c>
      <c r="M9" s="8">
        <v>2.02</v>
      </c>
      <c r="N9" s="8">
        <v>3</v>
      </c>
      <c r="O9" s="8">
        <v>3</v>
      </c>
      <c r="P9" s="8" t="s">
        <v>660</v>
      </c>
      <c r="Q9" s="8" t="s">
        <v>526</v>
      </c>
      <c r="R9" t="str">
        <f t="shared" si="0"/>
        <v>instruction/notask.png</v>
      </c>
    </row>
    <row r="10" spans="1:18" x14ac:dyDescent="0.2">
      <c r="A10">
        <v>18</v>
      </c>
      <c r="B10" t="s">
        <v>366</v>
      </c>
      <c r="C10" t="s">
        <v>363</v>
      </c>
      <c r="D10" t="s">
        <v>364</v>
      </c>
      <c r="E10" t="s">
        <v>820</v>
      </c>
      <c r="F10" t="s">
        <v>661</v>
      </c>
      <c r="G10" t="s">
        <v>528</v>
      </c>
      <c r="H10" t="s">
        <v>529</v>
      </c>
      <c r="I10" t="s">
        <v>38</v>
      </c>
      <c r="J10" t="s">
        <v>37</v>
      </c>
      <c r="K10">
        <v>1</v>
      </c>
      <c r="L10" s="8">
        <v>1.736</v>
      </c>
      <c r="M10" s="8">
        <v>2.4900000000000002</v>
      </c>
      <c r="N10" s="8">
        <v>4</v>
      </c>
      <c r="O10" s="8">
        <v>6</v>
      </c>
      <c r="P10" s="8" t="s">
        <v>662</v>
      </c>
      <c r="Q10" s="8" t="s">
        <v>531</v>
      </c>
      <c r="R10" t="str">
        <f t="shared" si="0"/>
        <v>instruction/notask.png</v>
      </c>
    </row>
    <row r="11" spans="1:18" x14ac:dyDescent="0.2">
      <c r="A11">
        <v>20</v>
      </c>
      <c r="B11" t="s">
        <v>366</v>
      </c>
      <c r="C11" t="s">
        <v>362</v>
      </c>
      <c r="D11" t="s">
        <v>364</v>
      </c>
      <c r="E11" t="s">
        <v>821</v>
      </c>
      <c r="F11" t="s">
        <v>663</v>
      </c>
      <c r="G11" t="s">
        <v>533</v>
      </c>
      <c r="H11" t="s">
        <v>534</v>
      </c>
      <c r="I11" t="s">
        <v>44</v>
      </c>
      <c r="J11" t="s">
        <v>47</v>
      </c>
      <c r="K11">
        <v>1</v>
      </c>
      <c r="L11" s="8">
        <v>1.84</v>
      </c>
      <c r="M11" s="8">
        <v>2.331</v>
      </c>
      <c r="N11" s="8">
        <v>2</v>
      </c>
      <c r="O11" s="8">
        <v>5</v>
      </c>
      <c r="P11" s="8" t="s">
        <v>664</v>
      </c>
      <c r="Q11" s="8" t="s">
        <v>536</v>
      </c>
      <c r="R11" t="str">
        <f t="shared" si="0"/>
        <v>instruction/articulation.png</v>
      </c>
    </row>
    <row r="12" spans="1:18" x14ac:dyDescent="0.2">
      <c r="A12">
        <v>22</v>
      </c>
      <c r="B12" t="s">
        <v>359</v>
      </c>
      <c r="C12" t="s">
        <v>362</v>
      </c>
      <c r="D12" t="s">
        <v>360</v>
      </c>
      <c r="E12" t="s">
        <v>822</v>
      </c>
      <c r="F12" t="s">
        <v>665</v>
      </c>
      <c r="G12" t="s">
        <v>538</v>
      </c>
      <c r="H12" t="s">
        <v>539</v>
      </c>
      <c r="I12" t="s">
        <v>66</v>
      </c>
      <c r="J12" t="s">
        <v>65</v>
      </c>
      <c r="K12">
        <v>2</v>
      </c>
      <c r="L12" s="8">
        <v>1.718</v>
      </c>
      <c r="M12" s="8">
        <v>2.2839999999999998</v>
      </c>
      <c r="N12" s="8">
        <v>3</v>
      </c>
      <c r="O12" s="8">
        <v>4</v>
      </c>
      <c r="P12" s="8" t="s">
        <v>666</v>
      </c>
      <c r="Q12" s="8" t="s">
        <v>541</v>
      </c>
      <c r="R12" t="str">
        <f t="shared" si="0"/>
        <v>instruction/articulation.png</v>
      </c>
    </row>
    <row r="13" spans="1:18" x14ac:dyDescent="0.2">
      <c r="A13">
        <v>24</v>
      </c>
      <c r="B13" t="s">
        <v>359</v>
      </c>
      <c r="C13" t="s">
        <v>363</v>
      </c>
      <c r="D13" t="s">
        <v>360</v>
      </c>
      <c r="E13" t="s">
        <v>823</v>
      </c>
      <c r="F13" t="s">
        <v>667</v>
      </c>
      <c r="G13" t="s">
        <v>543</v>
      </c>
      <c r="H13" t="s">
        <v>544</v>
      </c>
      <c r="I13" t="s">
        <v>73</v>
      </c>
      <c r="J13" t="s">
        <v>71</v>
      </c>
      <c r="K13">
        <v>2</v>
      </c>
      <c r="L13" s="8">
        <v>1.5009999999999999</v>
      </c>
      <c r="M13" s="8">
        <v>2.3540000000000001</v>
      </c>
      <c r="N13" s="8">
        <v>4</v>
      </c>
      <c r="O13" s="8">
        <v>3</v>
      </c>
      <c r="P13" s="8" t="s">
        <v>668</v>
      </c>
      <c r="Q13" s="8" t="s">
        <v>546</v>
      </c>
      <c r="R13" t="str">
        <f t="shared" si="0"/>
        <v>instruction/notask.png</v>
      </c>
    </row>
    <row r="14" spans="1:18" x14ac:dyDescent="0.2">
      <c r="A14">
        <v>110</v>
      </c>
      <c r="B14" t="s">
        <v>388</v>
      </c>
      <c r="C14" t="s">
        <v>363</v>
      </c>
      <c r="D14" t="s">
        <v>388</v>
      </c>
      <c r="E14" t="s">
        <v>730</v>
      </c>
      <c r="F14" t="s">
        <v>161</v>
      </c>
      <c r="G14" t="s">
        <v>245</v>
      </c>
      <c r="H14" t="s">
        <v>162</v>
      </c>
      <c r="I14" t="s">
        <v>164</v>
      </c>
      <c r="J14" t="s">
        <v>246</v>
      </c>
      <c r="K14">
        <v>2</v>
      </c>
      <c r="L14" s="8">
        <v>1.8080000000000001</v>
      </c>
      <c r="M14" s="8">
        <v>2.02</v>
      </c>
      <c r="N14" s="8">
        <v>2</v>
      </c>
      <c r="O14" s="8">
        <v>6</v>
      </c>
      <c r="P14" s="8" t="s">
        <v>670</v>
      </c>
      <c r="Q14" s="8" t="s">
        <v>671</v>
      </c>
      <c r="R14" t="str">
        <f t="shared" si="0"/>
        <v>instruction/notask.png</v>
      </c>
    </row>
    <row r="15" spans="1:18" x14ac:dyDescent="0.2">
      <c r="A15">
        <v>111</v>
      </c>
      <c r="B15" t="s">
        <v>388</v>
      </c>
      <c r="C15" t="s">
        <v>362</v>
      </c>
      <c r="D15" t="s">
        <v>388</v>
      </c>
      <c r="E15" t="s">
        <v>731</v>
      </c>
      <c r="F15" t="s">
        <v>170</v>
      </c>
      <c r="G15" t="s">
        <v>171</v>
      </c>
      <c r="H15" t="s">
        <v>173</v>
      </c>
      <c r="I15" t="s">
        <v>172</v>
      </c>
      <c r="J15" t="s">
        <v>174</v>
      </c>
      <c r="K15">
        <v>1</v>
      </c>
      <c r="L15" s="8">
        <v>1.9850000000000001</v>
      </c>
      <c r="M15" s="8">
        <v>1.9159999999999999</v>
      </c>
      <c r="N15" s="8">
        <v>3</v>
      </c>
      <c r="O15" s="8">
        <v>5</v>
      </c>
      <c r="P15" s="8" t="s">
        <v>672</v>
      </c>
      <c r="Q15" s="8" t="s">
        <v>673</v>
      </c>
      <c r="R15" t="str">
        <f t="shared" si="0"/>
        <v>instruction/articulation.png</v>
      </c>
    </row>
    <row r="16" spans="1:18" x14ac:dyDescent="0.2">
      <c r="A16">
        <v>112</v>
      </c>
      <c r="B16" t="s">
        <v>388</v>
      </c>
      <c r="C16" t="s">
        <v>363</v>
      </c>
      <c r="D16" t="s">
        <v>388</v>
      </c>
      <c r="E16" t="s">
        <v>732</v>
      </c>
      <c r="F16" t="s">
        <v>176</v>
      </c>
      <c r="G16" t="s">
        <v>177</v>
      </c>
      <c r="H16" t="s">
        <v>181</v>
      </c>
      <c r="I16" t="s">
        <v>182</v>
      </c>
      <c r="J16" t="s">
        <v>183</v>
      </c>
      <c r="K16">
        <v>2</v>
      </c>
      <c r="L16" s="8">
        <v>2.456</v>
      </c>
      <c r="M16" s="8">
        <v>1.8140000000000001</v>
      </c>
      <c r="N16" s="8">
        <v>4</v>
      </c>
      <c r="O16" s="8">
        <v>4</v>
      </c>
      <c r="P16" s="8" t="s">
        <v>674</v>
      </c>
      <c r="Q16" s="8" t="s">
        <v>675</v>
      </c>
      <c r="R16" t="str">
        <f t="shared" si="0"/>
        <v>instruction/notask.png</v>
      </c>
    </row>
    <row r="17" spans="1:18" x14ac:dyDescent="0.2">
      <c r="A17">
        <v>119</v>
      </c>
      <c r="B17" t="s">
        <v>388</v>
      </c>
      <c r="C17" t="s">
        <v>362</v>
      </c>
      <c r="D17" t="s">
        <v>388</v>
      </c>
      <c r="E17" t="s">
        <v>733</v>
      </c>
      <c r="F17" t="s">
        <v>239</v>
      </c>
      <c r="G17" t="s">
        <v>237</v>
      </c>
      <c r="H17" t="s">
        <v>669</v>
      </c>
      <c r="I17" t="s">
        <v>238</v>
      </c>
      <c r="J17" t="s">
        <v>194</v>
      </c>
      <c r="K17">
        <v>1</v>
      </c>
      <c r="L17" s="8">
        <v>2.145</v>
      </c>
      <c r="M17" s="8">
        <v>1.46</v>
      </c>
      <c r="N17" s="8">
        <v>2</v>
      </c>
      <c r="O17" s="8">
        <v>3</v>
      </c>
      <c r="P17" s="8" t="s">
        <v>676</v>
      </c>
      <c r="Q17" s="8" t="s">
        <v>677</v>
      </c>
      <c r="R17" t="str">
        <f t="shared" si="0"/>
        <v>instruction/articulation.png</v>
      </c>
    </row>
    <row r="18" spans="1:18" x14ac:dyDescent="0.2">
      <c r="A18">
        <v>120</v>
      </c>
      <c r="B18" t="s">
        <v>388</v>
      </c>
      <c r="C18" t="s">
        <v>363</v>
      </c>
      <c r="D18" t="s">
        <v>388</v>
      </c>
      <c r="E18" t="s">
        <v>734</v>
      </c>
      <c r="F18" t="s">
        <v>305</v>
      </c>
      <c r="G18" t="s">
        <v>306</v>
      </c>
      <c r="H18" t="s">
        <v>210</v>
      </c>
      <c r="I18" t="s">
        <v>211</v>
      </c>
      <c r="J18" t="s">
        <v>212</v>
      </c>
      <c r="K18">
        <v>2</v>
      </c>
      <c r="L18" s="8">
        <v>1.7729999999999999</v>
      </c>
      <c r="M18" s="8">
        <v>1.974</v>
      </c>
      <c r="N18" s="8">
        <v>3</v>
      </c>
      <c r="O18" s="8">
        <v>6</v>
      </c>
      <c r="P18" s="8" t="s">
        <v>678</v>
      </c>
      <c r="Q18" s="8" t="s">
        <v>679</v>
      </c>
      <c r="R18" t="str">
        <f t="shared" si="0"/>
        <v>instruction/notask.png</v>
      </c>
    </row>
    <row r="19" spans="1:18" x14ac:dyDescent="0.2">
      <c r="A19">
        <v>121</v>
      </c>
      <c r="B19" t="s">
        <v>388</v>
      </c>
      <c r="C19" t="s">
        <v>362</v>
      </c>
      <c r="D19" t="s">
        <v>388</v>
      </c>
      <c r="E19" t="s">
        <v>735</v>
      </c>
      <c r="F19" t="s">
        <v>240</v>
      </c>
      <c r="G19" t="s">
        <v>223</v>
      </c>
      <c r="H19" t="s">
        <v>241</v>
      </c>
      <c r="I19" t="s">
        <v>199</v>
      </c>
      <c r="J19" t="s">
        <v>153</v>
      </c>
      <c r="K19">
        <v>1</v>
      </c>
      <c r="L19" s="8">
        <v>2.0089999999999999</v>
      </c>
      <c r="M19" s="8">
        <v>2.0230000000000001</v>
      </c>
      <c r="N19" s="8">
        <v>4</v>
      </c>
      <c r="O19" s="8">
        <v>5</v>
      </c>
      <c r="P19" s="8" t="s">
        <v>680</v>
      </c>
      <c r="Q19" s="8" t="s">
        <v>681</v>
      </c>
      <c r="R19" t="str">
        <f t="shared" si="0"/>
        <v>instruction/articulation.png</v>
      </c>
    </row>
    <row r="20" spans="1:18" x14ac:dyDescent="0.2">
      <c r="A20">
        <v>134</v>
      </c>
      <c r="B20" t="s">
        <v>388</v>
      </c>
      <c r="C20" t="s">
        <v>363</v>
      </c>
      <c r="D20" t="s">
        <v>388</v>
      </c>
      <c r="E20" t="s">
        <v>736</v>
      </c>
      <c r="F20" t="s">
        <v>300</v>
      </c>
      <c r="G20" t="s">
        <v>301</v>
      </c>
      <c r="H20" t="s">
        <v>302</v>
      </c>
      <c r="I20" t="s">
        <v>304</v>
      </c>
      <c r="J20" t="s">
        <v>303</v>
      </c>
      <c r="K20">
        <v>2</v>
      </c>
      <c r="L20" s="8">
        <v>2.0289999999999999</v>
      </c>
      <c r="M20" s="8">
        <v>2.11</v>
      </c>
      <c r="N20" s="8">
        <v>2</v>
      </c>
      <c r="O20" s="8">
        <v>4</v>
      </c>
      <c r="P20" s="8" t="s">
        <v>682</v>
      </c>
      <c r="Q20" s="8" t="s">
        <v>683</v>
      </c>
      <c r="R20" t="str">
        <f t="shared" si="0"/>
        <v>instruction/notask.png</v>
      </c>
    </row>
    <row r="21" spans="1:18" x14ac:dyDescent="0.2">
      <c r="A21">
        <v>135</v>
      </c>
      <c r="B21" t="s">
        <v>388</v>
      </c>
      <c r="C21" t="s">
        <v>362</v>
      </c>
      <c r="D21" t="s">
        <v>388</v>
      </c>
      <c r="E21" t="s">
        <v>737</v>
      </c>
      <c r="F21" t="s">
        <v>280</v>
      </c>
      <c r="G21" t="s">
        <v>281</v>
      </c>
      <c r="H21" t="s">
        <v>279</v>
      </c>
      <c r="I21" t="s">
        <v>284</v>
      </c>
      <c r="J21" t="s">
        <v>283</v>
      </c>
      <c r="K21">
        <v>1</v>
      </c>
      <c r="L21" s="8">
        <v>2.2090000000000001</v>
      </c>
      <c r="M21" s="8">
        <v>1.91</v>
      </c>
      <c r="N21" s="8">
        <v>3</v>
      </c>
      <c r="O21" s="8">
        <v>3</v>
      </c>
      <c r="P21" s="8" t="s">
        <v>684</v>
      </c>
      <c r="Q21" s="8" t="s">
        <v>685</v>
      </c>
      <c r="R21" t="str">
        <f t="shared" si="0"/>
        <v>instruction/articulation.png</v>
      </c>
    </row>
    <row r="22" spans="1:18" x14ac:dyDescent="0.2">
      <c r="A22">
        <v>136</v>
      </c>
      <c r="B22" t="s">
        <v>388</v>
      </c>
      <c r="C22" t="s">
        <v>363</v>
      </c>
      <c r="D22" t="s">
        <v>388</v>
      </c>
      <c r="E22" t="s">
        <v>738</v>
      </c>
      <c r="F22" t="s">
        <v>292</v>
      </c>
      <c r="G22" t="s">
        <v>293</v>
      </c>
      <c r="H22" t="s">
        <v>287</v>
      </c>
      <c r="I22" t="s">
        <v>294</v>
      </c>
      <c r="J22" t="s">
        <v>295</v>
      </c>
      <c r="K22">
        <v>2</v>
      </c>
      <c r="L22" s="8">
        <v>2.194</v>
      </c>
      <c r="M22" s="8">
        <v>1.7589999999999999</v>
      </c>
      <c r="N22" s="8">
        <v>4</v>
      </c>
      <c r="O22" s="8">
        <v>6</v>
      </c>
      <c r="P22" s="8" t="s">
        <v>686</v>
      </c>
      <c r="Q22" s="8" t="s">
        <v>687</v>
      </c>
      <c r="R22" t="str">
        <f t="shared" si="0"/>
        <v>instruction/notask.png</v>
      </c>
    </row>
    <row r="23" spans="1:18" x14ac:dyDescent="0.2">
      <c r="A23">
        <v>143</v>
      </c>
      <c r="B23" t="s">
        <v>388</v>
      </c>
      <c r="C23" t="s">
        <v>362</v>
      </c>
      <c r="D23" t="s">
        <v>388</v>
      </c>
      <c r="E23" t="s">
        <v>739</v>
      </c>
      <c r="F23" t="s">
        <v>314</v>
      </c>
      <c r="G23" t="s">
        <v>310</v>
      </c>
      <c r="H23" t="s">
        <v>315</v>
      </c>
      <c r="I23" t="s">
        <v>313</v>
      </c>
      <c r="J23" t="s">
        <v>312</v>
      </c>
      <c r="K23">
        <v>1</v>
      </c>
      <c r="L23" s="8">
        <v>2.0840000000000001</v>
      </c>
      <c r="M23" s="8">
        <v>1.5149999999999999</v>
      </c>
      <c r="N23" s="8">
        <v>2</v>
      </c>
      <c r="O23" s="8">
        <v>5</v>
      </c>
      <c r="P23" s="8" t="s">
        <v>688</v>
      </c>
      <c r="Q23" s="8" t="s">
        <v>689</v>
      </c>
      <c r="R23" t="str">
        <f t="shared" si="0"/>
        <v>instruction/articulation.png</v>
      </c>
    </row>
    <row r="24" spans="1:18" x14ac:dyDescent="0.2">
      <c r="A24">
        <v>144</v>
      </c>
      <c r="B24" t="s">
        <v>388</v>
      </c>
      <c r="C24" t="s">
        <v>363</v>
      </c>
      <c r="D24" t="s">
        <v>388</v>
      </c>
      <c r="E24" t="s">
        <v>740</v>
      </c>
      <c r="F24" t="s">
        <v>320</v>
      </c>
      <c r="G24" t="s">
        <v>321</v>
      </c>
      <c r="H24" t="s">
        <v>323</v>
      </c>
      <c r="I24" t="s">
        <v>318</v>
      </c>
      <c r="J24" t="s">
        <v>324</v>
      </c>
      <c r="K24">
        <v>2</v>
      </c>
      <c r="L24" s="8">
        <v>1.98</v>
      </c>
      <c r="M24" s="8">
        <v>1.8049999999999999</v>
      </c>
      <c r="N24" s="8">
        <v>3</v>
      </c>
      <c r="O24" s="8">
        <v>4</v>
      </c>
      <c r="P24" s="8" t="s">
        <v>690</v>
      </c>
      <c r="Q24" s="8" t="s">
        <v>691</v>
      </c>
      <c r="R24" t="str">
        <f t="shared" si="0"/>
        <v>instruction/notask.png</v>
      </c>
    </row>
    <row r="25" spans="1:18" x14ac:dyDescent="0.2">
      <c r="A25">
        <v>145</v>
      </c>
      <c r="B25" t="s">
        <v>388</v>
      </c>
      <c r="C25" t="s">
        <v>362</v>
      </c>
      <c r="D25" t="s">
        <v>388</v>
      </c>
      <c r="E25" t="s">
        <v>741</v>
      </c>
      <c r="F25" t="s">
        <v>425</v>
      </c>
      <c r="G25" t="s">
        <v>355</v>
      </c>
      <c r="H25" t="s">
        <v>356</v>
      </c>
      <c r="I25" t="s">
        <v>353</v>
      </c>
      <c r="J25" t="s">
        <v>352</v>
      </c>
      <c r="K25">
        <v>1</v>
      </c>
      <c r="L25" s="8">
        <v>1.9530000000000001</v>
      </c>
      <c r="M25" s="8">
        <v>2.11</v>
      </c>
      <c r="N25" s="8">
        <v>4</v>
      </c>
      <c r="O25" s="8">
        <v>3</v>
      </c>
      <c r="P25" s="8" t="s">
        <v>692</v>
      </c>
      <c r="Q25" s="8" t="s">
        <v>693</v>
      </c>
      <c r="R25" t="str">
        <f t="shared" si="0"/>
        <v>instruction/articulation.png</v>
      </c>
    </row>
  </sheetData>
  <phoneticPr fontId="4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FF06-040A-4752-838B-EFCD0116AFDC}">
  <dimension ref="A1:R25"/>
  <sheetViews>
    <sheetView zoomScale="72" zoomScaleNormal="92" workbookViewId="0">
      <pane xSplit="4" topLeftCell="H1" activePane="topRight" state="frozen"/>
      <selection pane="topRight" activeCell="Q2" sqref="Q2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4" width="13.1640625" style="8" customWidth="1"/>
    <col min="15" max="15" width="15.6640625" style="8" customWidth="1"/>
    <col min="16" max="16" width="25.1640625" customWidth="1"/>
    <col min="17" max="17" width="25.3320312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1</v>
      </c>
      <c r="B2" t="s">
        <v>366</v>
      </c>
      <c r="C2" t="s">
        <v>363</v>
      </c>
      <c r="D2" t="s">
        <v>360</v>
      </c>
      <c r="E2" t="s">
        <v>800</v>
      </c>
      <c r="F2" t="s">
        <v>583</v>
      </c>
      <c r="G2" t="s">
        <v>390</v>
      </c>
      <c r="H2" t="s">
        <v>391</v>
      </c>
      <c r="I2" t="s">
        <v>0</v>
      </c>
      <c r="J2" t="s">
        <v>2</v>
      </c>
      <c r="K2">
        <v>2</v>
      </c>
      <c r="L2" s="8">
        <v>1.724</v>
      </c>
      <c r="M2" s="8">
        <v>2.3250000000000002</v>
      </c>
      <c r="N2" s="8">
        <v>2</v>
      </c>
      <c r="O2" s="8">
        <v>6</v>
      </c>
      <c r="P2" s="8" t="s">
        <v>584</v>
      </c>
      <c r="Q2" s="8" t="s">
        <v>463</v>
      </c>
      <c r="R2" t="str">
        <f>IF(C2 = "articulation", "instruction/articulation.png", "instruction/notask.png")</f>
        <v>instruction/notask.png</v>
      </c>
    </row>
    <row r="3" spans="1:18" x14ac:dyDescent="0.2">
      <c r="A3">
        <v>4</v>
      </c>
      <c r="B3" t="s">
        <v>366</v>
      </c>
      <c r="C3" t="s">
        <v>362</v>
      </c>
      <c r="D3" t="s">
        <v>364</v>
      </c>
      <c r="E3" t="s">
        <v>801</v>
      </c>
      <c r="F3" t="s">
        <v>585</v>
      </c>
      <c r="G3" t="s">
        <v>393</v>
      </c>
      <c r="H3" t="s">
        <v>394</v>
      </c>
      <c r="I3" t="s">
        <v>10</v>
      </c>
      <c r="J3" t="s">
        <v>53</v>
      </c>
      <c r="K3">
        <v>1</v>
      </c>
      <c r="L3" s="8">
        <v>1.5089999999999999</v>
      </c>
      <c r="M3" s="8">
        <v>2.601</v>
      </c>
      <c r="N3" s="8">
        <v>3</v>
      </c>
      <c r="O3" s="8">
        <v>5</v>
      </c>
      <c r="P3" s="8" t="s">
        <v>586</v>
      </c>
      <c r="Q3" s="8" t="s">
        <v>464</v>
      </c>
      <c r="R3" t="str">
        <f t="shared" ref="R3:R25" si="0">IF(C3 = "articulation", "instruction/articulation.png", "instruction/notask.png")</f>
        <v>instruction/articulation.png</v>
      </c>
    </row>
    <row r="4" spans="1:18" x14ac:dyDescent="0.2">
      <c r="A4">
        <v>6</v>
      </c>
      <c r="B4" t="s">
        <v>359</v>
      </c>
      <c r="C4" t="s">
        <v>362</v>
      </c>
      <c r="D4" t="s">
        <v>360</v>
      </c>
      <c r="E4" t="s">
        <v>802</v>
      </c>
      <c r="F4" t="s">
        <v>587</v>
      </c>
      <c r="G4" t="s">
        <v>396</v>
      </c>
      <c r="H4" t="s">
        <v>397</v>
      </c>
      <c r="I4" t="s">
        <v>16</v>
      </c>
      <c r="J4" t="s">
        <v>15</v>
      </c>
      <c r="K4">
        <v>2</v>
      </c>
      <c r="L4" s="8">
        <v>1.8979999999999999</v>
      </c>
      <c r="M4" s="8">
        <v>2.2989999999999999</v>
      </c>
      <c r="N4" s="8">
        <v>4</v>
      </c>
      <c r="O4" s="8">
        <v>4</v>
      </c>
      <c r="P4" s="8" t="s">
        <v>588</v>
      </c>
      <c r="Q4" s="8" t="s">
        <v>465</v>
      </c>
      <c r="R4" t="str">
        <f t="shared" si="0"/>
        <v>instruction/articulation.png</v>
      </c>
    </row>
    <row r="5" spans="1:18" x14ac:dyDescent="0.2">
      <c r="A5">
        <v>8</v>
      </c>
      <c r="B5" t="s">
        <v>359</v>
      </c>
      <c r="C5" t="s">
        <v>363</v>
      </c>
      <c r="D5" t="s">
        <v>360</v>
      </c>
      <c r="E5" t="s">
        <v>803</v>
      </c>
      <c r="F5" t="s">
        <v>589</v>
      </c>
      <c r="G5" t="s">
        <v>399</v>
      </c>
      <c r="H5" t="s">
        <v>400</v>
      </c>
      <c r="I5" t="s">
        <v>18</v>
      </c>
      <c r="J5" t="s">
        <v>23</v>
      </c>
      <c r="K5">
        <v>2</v>
      </c>
      <c r="L5" s="8">
        <v>1.843</v>
      </c>
      <c r="M5" s="8">
        <v>2.2410000000000001</v>
      </c>
      <c r="N5" s="8">
        <v>2</v>
      </c>
      <c r="O5" s="8">
        <v>3</v>
      </c>
      <c r="P5" s="8" t="s">
        <v>590</v>
      </c>
      <c r="Q5" s="8" t="s">
        <v>466</v>
      </c>
      <c r="R5" t="str">
        <f t="shared" si="0"/>
        <v>instruction/notask.png</v>
      </c>
    </row>
    <row r="6" spans="1:18" x14ac:dyDescent="0.2">
      <c r="A6">
        <v>10</v>
      </c>
      <c r="B6" t="s">
        <v>366</v>
      </c>
      <c r="C6" t="s">
        <v>363</v>
      </c>
      <c r="D6" t="s">
        <v>364</v>
      </c>
      <c r="E6" t="s">
        <v>804</v>
      </c>
      <c r="F6" t="s">
        <v>591</v>
      </c>
      <c r="G6" t="s">
        <v>402</v>
      </c>
      <c r="H6" t="s">
        <v>403</v>
      </c>
      <c r="I6" t="s">
        <v>24</v>
      </c>
      <c r="J6" t="s">
        <v>26</v>
      </c>
      <c r="K6">
        <v>1</v>
      </c>
      <c r="L6" s="8">
        <v>1.788</v>
      </c>
      <c r="M6" s="8">
        <v>2.3479999999999999</v>
      </c>
      <c r="N6" s="8">
        <v>3</v>
      </c>
      <c r="O6" s="8">
        <v>6</v>
      </c>
      <c r="P6" s="8" t="s">
        <v>592</v>
      </c>
      <c r="Q6" s="8" t="s">
        <v>467</v>
      </c>
      <c r="R6" t="str">
        <f t="shared" si="0"/>
        <v>instruction/notask.png</v>
      </c>
    </row>
    <row r="7" spans="1:18" x14ac:dyDescent="0.2">
      <c r="A7">
        <v>11</v>
      </c>
      <c r="B7" t="s">
        <v>366</v>
      </c>
      <c r="C7" t="s">
        <v>362</v>
      </c>
      <c r="D7" t="s">
        <v>360</v>
      </c>
      <c r="E7" t="s">
        <v>805</v>
      </c>
      <c r="F7" t="s">
        <v>593</v>
      </c>
      <c r="G7" t="s">
        <v>405</v>
      </c>
      <c r="H7" t="s">
        <v>406</v>
      </c>
      <c r="I7" t="s">
        <v>27</v>
      </c>
      <c r="J7" t="s">
        <v>28</v>
      </c>
      <c r="K7">
        <v>2</v>
      </c>
      <c r="L7" s="8">
        <v>1.4950000000000001</v>
      </c>
      <c r="M7" s="8">
        <v>2.3450000000000002</v>
      </c>
      <c r="N7" s="8">
        <v>4</v>
      </c>
      <c r="O7" s="8">
        <v>5</v>
      </c>
      <c r="P7" s="8" t="s">
        <v>594</v>
      </c>
      <c r="Q7" s="8" t="s">
        <v>468</v>
      </c>
      <c r="R7" t="str">
        <f t="shared" si="0"/>
        <v>instruction/articulation.png</v>
      </c>
    </row>
    <row r="8" spans="1:18" x14ac:dyDescent="0.2">
      <c r="A8">
        <v>13</v>
      </c>
      <c r="B8" t="s">
        <v>359</v>
      </c>
      <c r="C8" t="s">
        <v>362</v>
      </c>
      <c r="D8" t="s">
        <v>364</v>
      </c>
      <c r="E8" t="s">
        <v>806</v>
      </c>
      <c r="F8" t="s">
        <v>595</v>
      </c>
      <c r="G8" t="s">
        <v>408</v>
      </c>
      <c r="H8" t="s">
        <v>409</v>
      </c>
      <c r="I8" t="s">
        <v>35</v>
      </c>
      <c r="J8" t="s">
        <v>36</v>
      </c>
      <c r="K8">
        <v>1</v>
      </c>
      <c r="L8" s="8">
        <v>1.7589999999999999</v>
      </c>
      <c r="M8" s="8">
        <v>1.9710000000000001</v>
      </c>
      <c r="N8" s="8">
        <v>2</v>
      </c>
      <c r="O8" s="8">
        <v>4</v>
      </c>
      <c r="P8" s="8" t="s">
        <v>596</v>
      </c>
      <c r="Q8" s="8" t="s">
        <v>469</v>
      </c>
      <c r="R8" t="str">
        <f t="shared" si="0"/>
        <v>instruction/articulation.png</v>
      </c>
    </row>
    <row r="9" spans="1:18" x14ac:dyDescent="0.2">
      <c r="A9">
        <v>15</v>
      </c>
      <c r="B9" t="s">
        <v>359</v>
      </c>
      <c r="C9" t="s">
        <v>363</v>
      </c>
      <c r="D9" t="s">
        <v>364</v>
      </c>
      <c r="E9" t="s">
        <v>807</v>
      </c>
      <c r="F9" t="s">
        <v>597</v>
      </c>
      <c r="G9" t="s">
        <v>411</v>
      </c>
      <c r="H9" t="s">
        <v>412</v>
      </c>
      <c r="I9" t="s">
        <v>57</v>
      </c>
      <c r="J9" t="s">
        <v>58</v>
      </c>
      <c r="K9">
        <v>1</v>
      </c>
      <c r="L9" s="8">
        <v>1.44</v>
      </c>
      <c r="M9" s="8">
        <v>2.56</v>
      </c>
      <c r="N9" s="8">
        <v>3</v>
      </c>
      <c r="O9" s="8">
        <v>3</v>
      </c>
      <c r="P9" s="8" t="s">
        <v>598</v>
      </c>
      <c r="Q9" s="8" t="s">
        <v>470</v>
      </c>
      <c r="R9" t="str">
        <f t="shared" si="0"/>
        <v>instruction/notask.png</v>
      </c>
    </row>
    <row r="10" spans="1:18" x14ac:dyDescent="0.2">
      <c r="A10">
        <v>17</v>
      </c>
      <c r="B10" t="s">
        <v>366</v>
      </c>
      <c r="C10" t="s">
        <v>363</v>
      </c>
      <c r="D10" t="s">
        <v>360</v>
      </c>
      <c r="E10" t="s">
        <v>808</v>
      </c>
      <c r="F10" t="s">
        <v>599</v>
      </c>
      <c r="G10" t="s">
        <v>414</v>
      </c>
      <c r="H10" t="s">
        <v>415</v>
      </c>
      <c r="I10" t="s">
        <v>62</v>
      </c>
      <c r="J10" t="s">
        <v>63</v>
      </c>
      <c r="K10">
        <v>2</v>
      </c>
      <c r="L10" s="8">
        <v>1.46</v>
      </c>
      <c r="M10" s="8">
        <v>2.11</v>
      </c>
      <c r="N10" s="8">
        <v>4</v>
      </c>
      <c r="O10" s="8">
        <v>6</v>
      </c>
      <c r="P10" s="8" t="s">
        <v>600</v>
      </c>
      <c r="Q10" s="8" t="s">
        <v>471</v>
      </c>
      <c r="R10" t="str">
        <f t="shared" si="0"/>
        <v>instruction/notask.png</v>
      </c>
    </row>
    <row r="11" spans="1:18" x14ac:dyDescent="0.2">
      <c r="A11">
        <v>19</v>
      </c>
      <c r="B11" t="s">
        <v>366</v>
      </c>
      <c r="C11" t="s">
        <v>362</v>
      </c>
      <c r="D11" t="s">
        <v>360</v>
      </c>
      <c r="E11" t="s">
        <v>809</v>
      </c>
      <c r="F11" t="s">
        <v>601</v>
      </c>
      <c r="G11" t="s">
        <v>417</v>
      </c>
      <c r="H11" t="s">
        <v>418</v>
      </c>
      <c r="I11" t="s">
        <v>40</v>
      </c>
      <c r="J11" t="s">
        <v>41</v>
      </c>
      <c r="K11">
        <v>2</v>
      </c>
      <c r="L11" s="8">
        <v>1.91</v>
      </c>
      <c r="M11" s="8">
        <v>2.339</v>
      </c>
      <c r="N11" s="8">
        <v>2</v>
      </c>
      <c r="O11" s="8">
        <v>5</v>
      </c>
      <c r="P11" s="8" t="s">
        <v>602</v>
      </c>
      <c r="Q11" s="8" t="s">
        <v>472</v>
      </c>
      <c r="R11" t="str">
        <f t="shared" si="0"/>
        <v>instruction/articulation.png</v>
      </c>
    </row>
    <row r="12" spans="1:18" x14ac:dyDescent="0.2">
      <c r="A12">
        <v>21</v>
      </c>
      <c r="B12" t="s">
        <v>359</v>
      </c>
      <c r="C12" t="s">
        <v>362</v>
      </c>
      <c r="D12" t="s">
        <v>364</v>
      </c>
      <c r="E12" t="s">
        <v>810</v>
      </c>
      <c r="F12" t="s">
        <v>603</v>
      </c>
      <c r="G12" t="s">
        <v>420</v>
      </c>
      <c r="H12" t="s">
        <v>421</v>
      </c>
      <c r="I12" t="s">
        <v>45</v>
      </c>
      <c r="J12" t="s">
        <v>48</v>
      </c>
      <c r="K12">
        <v>1</v>
      </c>
      <c r="L12" s="8">
        <v>1.8340000000000001</v>
      </c>
      <c r="M12" s="8">
        <v>2.1440000000000001</v>
      </c>
      <c r="N12" s="8">
        <v>3</v>
      </c>
      <c r="O12" s="8">
        <v>4</v>
      </c>
      <c r="P12" s="8" t="s">
        <v>604</v>
      </c>
      <c r="Q12" s="8" t="s">
        <v>473</v>
      </c>
      <c r="R12" t="str">
        <f t="shared" si="0"/>
        <v>instruction/articulation.png</v>
      </c>
    </row>
    <row r="13" spans="1:18" x14ac:dyDescent="0.2">
      <c r="A13">
        <v>23</v>
      </c>
      <c r="B13" t="s">
        <v>359</v>
      </c>
      <c r="C13" t="s">
        <v>363</v>
      </c>
      <c r="D13" t="s">
        <v>364</v>
      </c>
      <c r="E13" t="s">
        <v>811</v>
      </c>
      <c r="F13" t="s">
        <v>605</v>
      </c>
      <c r="G13" t="s">
        <v>423</v>
      </c>
      <c r="H13" t="s">
        <v>424</v>
      </c>
      <c r="I13" t="s">
        <v>70</v>
      </c>
      <c r="J13" t="s">
        <v>69</v>
      </c>
      <c r="K13">
        <v>1</v>
      </c>
      <c r="L13" s="8">
        <v>1.7529999999999999</v>
      </c>
      <c r="M13" s="8">
        <v>2.2000000000000002</v>
      </c>
      <c r="N13" s="8">
        <v>4</v>
      </c>
      <c r="O13" s="8">
        <v>3</v>
      </c>
      <c r="P13" s="8" t="s">
        <v>606</v>
      </c>
      <c r="Q13" s="8" t="s">
        <v>474</v>
      </c>
      <c r="R13" t="str">
        <f t="shared" si="0"/>
        <v>instruction/notask.png</v>
      </c>
    </row>
    <row r="14" spans="1:18" x14ac:dyDescent="0.2">
      <c r="A14">
        <v>107</v>
      </c>
      <c r="B14" t="s">
        <v>388</v>
      </c>
      <c r="C14" t="s">
        <v>363</v>
      </c>
      <c r="D14" t="s">
        <v>388</v>
      </c>
      <c r="E14" t="s">
        <v>718</v>
      </c>
      <c r="F14" t="s">
        <v>220</v>
      </c>
      <c r="G14" t="s">
        <v>171</v>
      </c>
      <c r="H14" t="s">
        <v>242</v>
      </c>
      <c r="I14" t="s">
        <v>205</v>
      </c>
      <c r="J14" t="s">
        <v>206</v>
      </c>
      <c r="K14">
        <v>1</v>
      </c>
      <c r="L14" s="8">
        <v>1.736</v>
      </c>
      <c r="M14" s="8">
        <v>1.9159999999999999</v>
      </c>
      <c r="N14" s="8">
        <v>2</v>
      </c>
      <c r="O14" s="8">
        <v>6</v>
      </c>
      <c r="P14" s="8" t="s">
        <v>607</v>
      </c>
      <c r="Q14" s="8" t="s">
        <v>608</v>
      </c>
      <c r="R14" t="str">
        <f t="shared" si="0"/>
        <v>instruction/notask.png</v>
      </c>
    </row>
    <row r="15" spans="1:18" x14ac:dyDescent="0.2">
      <c r="A15">
        <v>108</v>
      </c>
      <c r="B15" t="s">
        <v>388</v>
      </c>
      <c r="C15" t="s">
        <v>362</v>
      </c>
      <c r="D15" t="s">
        <v>388</v>
      </c>
      <c r="E15" t="s">
        <v>719</v>
      </c>
      <c r="F15" t="s">
        <v>175</v>
      </c>
      <c r="G15" t="s">
        <v>247</v>
      </c>
      <c r="H15" t="s">
        <v>248</v>
      </c>
      <c r="I15" t="s">
        <v>208</v>
      </c>
      <c r="J15" t="s">
        <v>209</v>
      </c>
      <c r="K15">
        <v>2</v>
      </c>
      <c r="L15" s="8">
        <v>2.0289999999999999</v>
      </c>
      <c r="M15" s="8">
        <v>1.6830000000000001</v>
      </c>
      <c r="N15" s="8">
        <v>3</v>
      </c>
      <c r="O15" s="8">
        <v>5</v>
      </c>
      <c r="P15" s="8" t="s">
        <v>609</v>
      </c>
      <c r="Q15" s="8" t="s">
        <v>610</v>
      </c>
      <c r="R15" t="str">
        <f t="shared" si="0"/>
        <v>instruction/articulation.png</v>
      </c>
    </row>
    <row r="16" spans="1:18" x14ac:dyDescent="0.2">
      <c r="A16">
        <v>109</v>
      </c>
      <c r="B16" t="s">
        <v>388</v>
      </c>
      <c r="C16" t="s">
        <v>363</v>
      </c>
      <c r="D16" t="s">
        <v>388</v>
      </c>
      <c r="E16" t="s">
        <v>720</v>
      </c>
      <c r="F16" t="s">
        <v>200</v>
      </c>
      <c r="G16" t="s">
        <v>243</v>
      </c>
      <c r="H16" t="s">
        <v>244</v>
      </c>
      <c r="I16" t="s">
        <v>152</v>
      </c>
      <c r="J16" t="s">
        <v>208</v>
      </c>
      <c r="K16">
        <v>1</v>
      </c>
      <c r="L16" s="8">
        <v>1.718</v>
      </c>
      <c r="M16" s="8">
        <v>1.6830000000000001</v>
      </c>
      <c r="N16" s="8">
        <v>4</v>
      </c>
      <c r="O16" s="8">
        <v>4</v>
      </c>
      <c r="P16" s="8" t="s">
        <v>611</v>
      </c>
      <c r="Q16" s="8" t="s">
        <v>612</v>
      </c>
      <c r="R16" t="str">
        <f t="shared" si="0"/>
        <v>instruction/notask.png</v>
      </c>
    </row>
    <row r="17" spans="1:18" x14ac:dyDescent="0.2">
      <c r="A17">
        <v>122</v>
      </c>
      <c r="B17" t="s">
        <v>388</v>
      </c>
      <c r="C17" t="s">
        <v>362</v>
      </c>
      <c r="D17" t="s">
        <v>388</v>
      </c>
      <c r="E17" t="s">
        <v>721</v>
      </c>
      <c r="F17" t="s">
        <v>227</v>
      </c>
      <c r="G17" t="s">
        <v>307</v>
      </c>
      <c r="H17" t="s">
        <v>228</v>
      </c>
      <c r="I17" t="s">
        <v>229</v>
      </c>
      <c r="J17" t="s">
        <v>230</v>
      </c>
      <c r="K17">
        <v>2</v>
      </c>
      <c r="L17" s="8">
        <v>1.625</v>
      </c>
      <c r="M17" s="8">
        <v>1.89</v>
      </c>
      <c r="N17" s="8">
        <v>2</v>
      </c>
      <c r="O17" s="8">
        <v>3</v>
      </c>
      <c r="P17" s="8" t="s">
        <v>613</v>
      </c>
      <c r="Q17" s="8" t="s">
        <v>614</v>
      </c>
      <c r="R17" t="str">
        <f t="shared" si="0"/>
        <v>instruction/articulation.png</v>
      </c>
    </row>
    <row r="18" spans="1:18" x14ac:dyDescent="0.2">
      <c r="A18">
        <v>123</v>
      </c>
      <c r="B18" t="s">
        <v>388</v>
      </c>
      <c r="C18" t="s">
        <v>363</v>
      </c>
      <c r="D18" t="s">
        <v>388</v>
      </c>
      <c r="E18" t="s">
        <v>722</v>
      </c>
      <c r="F18" t="s">
        <v>231</v>
      </c>
      <c r="G18" t="s">
        <v>232</v>
      </c>
      <c r="H18" t="s">
        <v>233</v>
      </c>
      <c r="I18" t="s">
        <v>234</v>
      </c>
      <c r="J18" t="s">
        <v>235</v>
      </c>
      <c r="K18">
        <v>1</v>
      </c>
      <c r="L18" s="8">
        <v>2.0139999999999998</v>
      </c>
      <c r="M18" s="8">
        <v>2.0350000000000001</v>
      </c>
      <c r="N18" s="8">
        <v>3</v>
      </c>
      <c r="O18" s="8">
        <v>6</v>
      </c>
      <c r="P18" s="8" t="s">
        <v>615</v>
      </c>
      <c r="Q18" s="8" t="s">
        <v>616</v>
      </c>
      <c r="R18" t="str">
        <f t="shared" si="0"/>
        <v>instruction/notask.png</v>
      </c>
    </row>
    <row r="19" spans="1:18" x14ac:dyDescent="0.2">
      <c r="A19">
        <v>124</v>
      </c>
      <c r="B19" t="s">
        <v>388</v>
      </c>
      <c r="C19" t="s">
        <v>362</v>
      </c>
      <c r="D19" t="s">
        <v>388</v>
      </c>
      <c r="E19" t="s">
        <v>723</v>
      </c>
      <c r="F19" t="s">
        <v>213</v>
      </c>
      <c r="G19" t="s">
        <v>308</v>
      </c>
      <c r="H19" t="s">
        <v>236</v>
      </c>
      <c r="I19" t="s">
        <v>154</v>
      </c>
      <c r="J19" t="s">
        <v>216</v>
      </c>
      <c r="K19">
        <v>2</v>
      </c>
      <c r="L19" s="8">
        <v>1.53</v>
      </c>
      <c r="M19" s="8">
        <v>1.919</v>
      </c>
      <c r="N19" s="8">
        <v>4</v>
      </c>
      <c r="O19" s="8">
        <v>5</v>
      </c>
      <c r="P19" s="8" t="s">
        <v>617</v>
      </c>
      <c r="Q19" s="8" t="s">
        <v>618</v>
      </c>
      <c r="R19" t="str">
        <f t="shared" si="0"/>
        <v>instruction/articulation.png</v>
      </c>
    </row>
    <row r="20" spans="1:18" x14ac:dyDescent="0.2">
      <c r="A20">
        <v>131</v>
      </c>
      <c r="B20" t="s">
        <v>388</v>
      </c>
      <c r="C20" t="s">
        <v>363</v>
      </c>
      <c r="D20" t="s">
        <v>388</v>
      </c>
      <c r="E20" t="s">
        <v>724</v>
      </c>
      <c r="F20" t="s">
        <v>260</v>
      </c>
      <c r="G20" t="s">
        <v>262</v>
      </c>
      <c r="H20" t="s">
        <v>282</v>
      </c>
      <c r="I20" t="s">
        <v>257</v>
      </c>
      <c r="J20" t="s">
        <v>256</v>
      </c>
      <c r="K20">
        <v>1</v>
      </c>
      <c r="L20" s="8">
        <v>1.718</v>
      </c>
      <c r="M20" s="8">
        <v>1.93</v>
      </c>
      <c r="N20" s="8">
        <v>2</v>
      </c>
      <c r="O20" s="8">
        <v>4</v>
      </c>
      <c r="P20" s="8" t="s">
        <v>619</v>
      </c>
      <c r="Q20" s="8" t="s">
        <v>620</v>
      </c>
      <c r="R20" t="str">
        <f t="shared" si="0"/>
        <v>instruction/notask.png</v>
      </c>
    </row>
    <row r="21" spans="1:18" x14ac:dyDescent="0.2">
      <c r="A21">
        <v>132</v>
      </c>
      <c r="B21" t="s">
        <v>388</v>
      </c>
      <c r="C21" t="s">
        <v>362</v>
      </c>
      <c r="D21" t="s">
        <v>388</v>
      </c>
      <c r="E21" t="s">
        <v>725</v>
      </c>
      <c r="F21" t="s">
        <v>271</v>
      </c>
      <c r="G21" t="s">
        <v>263</v>
      </c>
      <c r="H21" t="s">
        <v>264</v>
      </c>
      <c r="I21" t="s">
        <v>155</v>
      </c>
      <c r="J21" t="s">
        <v>156</v>
      </c>
      <c r="K21">
        <v>2</v>
      </c>
      <c r="L21" s="8">
        <v>2.0089999999999999</v>
      </c>
      <c r="M21" s="8">
        <v>2.258</v>
      </c>
      <c r="N21" s="8">
        <v>3</v>
      </c>
      <c r="O21" s="8">
        <v>3</v>
      </c>
      <c r="P21" s="8" t="s">
        <v>621</v>
      </c>
      <c r="Q21" s="8" t="s">
        <v>622</v>
      </c>
      <c r="R21" t="str">
        <f t="shared" si="0"/>
        <v>instruction/articulation.png</v>
      </c>
    </row>
    <row r="22" spans="1:18" x14ac:dyDescent="0.2">
      <c r="A22">
        <v>133</v>
      </c>
      <c r="B22" t="s">
        <v>388</v>
      </c>
      <c r="C22" t="s">
        <v>363</v>
      </c>
      <c r="D22" t="s">
        <v>388</v>
      </c>
      <c r="E22" t="s">
        <v>726</v>
      </c>
      <c r="F22" t="s">
        <v>269</v>
      </c>
      <c r="G22" t="s">
        <v>272</v>
      </c>
      <c r="H22" t="s">
        <v>267</v>
      </c>
      <c r="I22" t="s">
        <v>274</v>
      </c>
      <c r="J22" t="s">
        <v>273</v>
      </c>
      <c r="K22">
        <v>1</v>
      </c>
      <c r="L22" s="8">
        <v>2.1800000000000002</v>
      </c>
      <c r="M22" s="8">
        <v>1.5589999999999999</v>
      </c>
      <c r="N22" s="8">
        <v>4</v>
      </c>
      <c r="O22" s="8">
        <v>6</v>
      </c>
      <c r="P22" s="8" t="s">
        <v>623</v>
      </c>
      <c r="Q22" s="8" t="s">
        <v>624</v>
      </c>
      <c r="R22" t="str">
        <f t="shared" si="0"/>
        <v>instruction/notask.png</v>
      </c>
    </row>
    <row r="23" spans="1:18" x14ac:dyDescent="0.2">
      <c r="A23">
        <v>146</v>
      </c>
      <c r="B23" t="s">
        <v>388</v>
      </c>
      <c r="C23" t="s">
        <v>362</v>
      </c>
      <c r="D23" t="s">
        <v>388</v>
      </c>
      <c r="E23" t="s">
        <v>727</v>
      </c>
      <c r="F23" t="s">
        <v>329</v>
      </c>
      <c r="G23" t="s">
        <v>327</v>
      </c>
      <c r="H23" t="s">
        <v>331</v>
      </c>
      <c r="I23" t="s">
        <v>325</v>
      </c>
      <c r="J23" t="s">
        <v>328</v>
      </c>
      <c r="K23">
        <v>2</v>
      </c>
      <c r="L23" s="8">
        <v>1.988</v>
      </c>
      <c r="M23" s="8">
        <v>1.82</v>
      </c>
      <c r="N23" s="8">
        <v>2</v>
      </c>
      <c r="O23" s="8">
        <v>5</v>
      </c>
      <c r="P23" s="8" t="s">
        <v>625</v>
      </c>
      <c r="Q23" s="8" t="s">
        <v>626</v>
      </c>
      <c r="R23" t="str">
        <f t="shared" si="0"/>
        <v>instruction/articulation.png</v>
      </c>
    </row>
    <row r="24" spans="1:18" x14ac:dyDescent="0.2">
      <c r="A24">
        <v>147</v>
      </c>
      <c r="B24" t="s">
        <v>388</v>
      </c>
      <c r="C24" t="s">
        <v>363</v>
      </c>
      <c r="D24" t="s">
        <v>388</v>
      </c>
      <c r="E24" t="s">
        <v>728</v>
      </c>
      <c r="F24" t="s">
        <v>341</v>
      </c>
      <c r="G24" t="s">
        <v>342</v>
      </c>
      <c r="H24" t="s">
        <v>343</v>
      </c>
      <c r="I24" t="s">
        <v>344</v>
      </c>
      <c r="J24" t="s">
        <v>345</v>
      </c>
      <c r="K24">
        <v>1</v>
      </c>
      <c r="L24" s="8">
        <v>2.0089999999999999</v>
      </c>
      <c r="M24" s="8">
        <v>1.98</v>
      </c>
      <c r="N24" s="8">
        <v>3</v>
      </c>
      <c r="O24" s="8">
        <v>4</v>
      </c>
      <c r="P24" s="8" t="s">
        <v>627</v>
      </c>
      <c r="Q24" s="8" t="s">
        <v>628</v>
      </c>
      <c r="R24" t="str">
        <f t="shared" si="0"/>
        <v>instruction/notask.png</v>
      </c>
    </row>
    <row r="25" spans="1:18" x14ac:dyDescent="0.2">
      <c r="A25">
        <v>148</v>
      </c>
      <c r="B25" t="s">
        <v>388</v>
      </c>
      <c r="C25" t="s">
        <v>362</v>
      </c>
      <c r="D25" t="s">
        <v>388</v>
      </c>
      <c r="E25" t="s">
        <v>729</v>
      </c>
      <c r="F25" t="s">
        <v>346</v>
      </c>
      <c r="G25" t="s">
        <v>347</v>
      </c>
      <c r="H25" t="s">
        <v>348</v>
      </c>
      <c r="I25" t="s">
        <v>349</v>
      </c>
      <c r="J25" t="s">
        <v>253</v>
      </c>
      <c r="K25">
        <v>2</v>
      </c>
      <c r="L25" s="8">
        <v>1.994</v>
      </c>
      <c r="M25" s="8">
        <v>1.718</v>
      </c>
      <c r="N25" s="8">
        <v>4</v>
      </c>
      <c r="O25" s="8">
        <v>3</v>
      </c>
      <c r="P25" s="8" t="s">
        <v>629</v>
      </c>
      <c r="Q25" s="8" t="s">
        <v>630</v>
      </c>
      <c r="R25" t="str">
        <f t="shared" si="0"/>
        <v>instruction/articulation.png</v>
      </c>
    </row>
  </sheetData>
  <phoneticPr fontId="4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C470F-D92E-40DE-B0CA-119BA39B9C2F}">
  <dimension ref="A1:R25"/>
  <sheetViews>
    <sheetView zoomScale="72" zoomScaleNormal="92" workbookViewId="0">
      <pane xSplit="4" topLeftCell="M1" activePane="topRight" state="frozen"/>
      <selection pane="topRight" activeCell="M15" sqref="M15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4" width="13.1640625" style="8" customWidth="1"/>
    <col min="15" max="15" width="15.6640625" style="8" customWidth="1"/>
    <col min="16" max="16" width="25.1640625" customWidth="1"/>
    <col min="17" max="17" width="32.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2</v>
      </c>
      <c r="B2" t="s">
        <v>359</v>
      </c>
      <c r="C2" t="s">
        <v>362</v>
      </c>
      <c r="D2" t="s">
        <v>360</v>
      </c>
      <c r="E2" t="s">
        <v>787</v>
      </c>
      <c r="F2" t="s">
        <v>487</v>
      </c>
      <c r="G2" t="s">
        <v>488</v>
      </c>
      <c r="H2" t="s">
        <v>489</v>
      </c>
      <c r="I2" t="s">
        <v>8</v>
      </c>
      <c r="J2" t="s">
        <v>5</v>
      </c>
      <c r="K2">
        <v>2</v>
      </c>
      <c r="L2" s="8">
        <v>1.7589999999999999</v>
      </c>
      <c r="M2" s="8">
        <v>2.0489999999999999</v>
      </c>
      <c r="N2" s="8">
        <v>2</v>
      </c>
      <c r="O2" s="8">
        <v>6</v>
      </c>
      <c r="P2" s="8" t="s">
        <v>490</v>
      </c>
      <c r="Q2" s="8" t="s">
        <v>491</v>
      </c>
      <c r="R2" t="str">
        <f>IF(C2 = "articulation", "instruction/articulation.png", "instruction/notask.png")</f>
        <v>instruction/articulation.png</v>
      </c>
    </row>
    <row r="3" spans="1:18" x14ac:dyDescent="0.2">
      <c r="A3">
        <v>3</v>
      </c>
      <c r="B3" t="s">
        <v>359</v>
      </c>
      <c r="C3" t="s">
        <v>363</v>
      </c>
      <c r="D3" t="s">
        <v>364</v>
      </c>
      <c r="E3" t="s">
        <v>788</v>
      </c>
      <c r="F3" t="s">
        <v>492</v>
      </c>
      <c r="G3" t="s">
        <v>493</v>
      </c>
      <c r="H3" t="s">
        <v>494</v>
      </c>
      <c r="I3" t="s">
        <v>7</v>
      </c>
      <c r="J3" t="s">
        <v>6</v>
      </c>
      <c r="K3">
        <v>1</v>
      </c>
      <c r="L3" s="8">
        <v>1.64</v>
      </c>
      <c r="M3" s="8">
        <v>2.069</v>
      </c>
      <c r="N3" s="8">
        <v>3</v>
      </c>
      <c r="O3" s="8">
        <v>5</v>
      </c>
      <c r="P3" s="8" t="s">
        <v>495</v>
      </c>
      <c r="Q3" s="8" t="s">
        <v>496</v>
      </c>
      <c r="R3" t="str">
        <f t="shared" ref="R3:R25" si="0">IF(C3 = "articulation", "instruction/articulation.png", "instruction/notask.png")</f>
        <v>instruction/notask.png</v>
      </c>
    </row>
    <row r="4" spans="1:18" x14ac:dyDescent="0.2">
      <c r="A4">
        <v>5</v>
      </c>
      <c r="B4" t="s">
        <v>366</v>
      </c>
      <c r="C4" t="s">
        <v>363</v>
      </c>
      <c r="D4" t="s">
        <v>360</v>
      </c>
      <c r="E4" t="s">
        <v>789</v>
      </c>
      <c r="F4" t="s">
        <v>497</v>
      </c>
      <c r="G4" t="s">
        <v>498</v>
      </c>
      <c r="H4" t="s">
        <v>499</v>
      </c>
      <c r="I4" t="s">
        <v>12</v>
      </c>
      <c r="J4" t="s">
        <v>13</v>
      </c>
      <c r="K4">
        <v>2</v>
      </c>
      <c r="L4" s="8">
        <v>1.7150000000000001</v>
      </c>
      <c r="M4" s="8">
        <v>2.0750000000000002</v>
      </c>
      <c r="N4" s="8">
        <v>4</v>
      </c>
      <c r="O4" s="8">
        <v>4</v>
      </c>
      <c r="P4" s="8" t="s">
        <v>500</v>
      </c>
      <c r="Q4" s="8" t="s">
        <v>501</v>
      </c>
      <c r="R4" t="str">
        <f t="shared" si="0"/>
        <v>instruction/notask.png</v>
      </c>
    </row>
    <row r="5" spans="1:18" x14ac:dyDescent="0.2">
      <c r="A5">
        <v>7</v>
      </c>
      <c r="B5" t="s">
        <v>366</v>
      </c>
      <c r="C5" t="s">
        <v>362</v>
      </c>
      <c r="D5" t="s">
        <v>360</v>
      </c>
      <c r="E5" t="s">
        <v>790</v>
      </c>
      <c r="F5" t="s">
        <v>502</v>
      </c>
      <c r="G5" t="s">
        <v>503</v>
      </c>
      <c r="H5" t="s">
        <v>504</v>
      </c>
      <c r="I5" t="s">
        <v>22</v>
      </c>
      <c r="J5" t="s">
        <v>20</v>
      </c>
      <c r="K5">
        <v>2</v>
      </c>
      <c r="L5" s="8">
        <v>1.9159999999999999</v>
      </c>
      <c r="M5" s="8">
        <v>2.395</v>
      </c>
      <c r="N5" s="8">
        <v>2</v>
      </c>
      <c r="O5" s="8">
        <v>3</v>
      </c>
      <c r="P5" s="8" t="s">
        <v>505</v>
      </c>
      <c r="Q5" s="8" t="s">
        <v>506</v>
      </c>
      <c r="R5" t="str">
        <f t="shared" si="0"/>
        <v>instruction/articulation.png</v>
      </c>
    </row>
    <row r="6" spans="1:18" x14ac:dyDescent="0.2">
      <c r="A6">
        <v>9</v>
      </c>
      <c r="B6" t="s">
        <v>359</v>
      </c>
      <c r="C6" t="s">
        <v>362</v>
      </c>
      <c r="D6" t="s">
        <v>364</v>
      </c>
      <c r="E6" t="s">
        <v>791</v>
      </c>
      <c r="F6" t="s">
        <v>507</v>
      </c>
      <c r="G6" t="s">
        <v>508</v>
      </c>
      <c r="H6" t="s">
        <v>509</v>
      </c>
      <c r="I6" t="s">
        <v>59</v>
      </c>
      <c r="J6" t="s">
        <v>60</v>
      </c>
      <c r="K6">
        <v>1</v>
      </c>
      <c r="L6" s="8">
        <v>1.675</v>
      </c>
      <c r="M6" s="8">
        <v>2.165</v>
      </c>
      <c r="N6" s="8">
        <v>3</v>
      </c>
      <c r="O6" s="8">
        <v>6</v>
      </c>
      <c r="P6" s="8" t="s">
        <v>510</v>
      </c>
      <c r="Q6" s="8" t="s">
        <v>511</v>
      </c>
      <c r="R6" t="str">
        <f t="shared" si="0"/>
        <v>instruction/articulation.png</v>
      </c>
    </row>
    <row r="7" spans="1:18" x14ac:dyDescent="0.2">
      <c r="A7">
        <v>12</v>
      </c>
      <c r="B7" t="s">
        <v>359</v>
      </c>
      <c r="C7" t="s">
        <v>363</v>
      </c>
      <c r="D7" t="s">
        <v>360</v>
      </c>
      <c r="E7" t="s">
        <v>792</v>
      </c>
      <c r="F7" t="s">
        <v>512</v>
      </c>
      <c r="G7" t="s">
        <v>513</v>
      </c>
      <c r="H7" t="s">
        <v>514</v>
      </c>
      <c r="I7" t="s">
        <v>33</v>
      </c>
      <c r="J7" t="s">
        <v>32</v>
      </c>
      <c r="K7">
        <v>2</v>
      </c>
      <c r="L7" s="8">
        <v>1.9159999999999999</v>
      </c>
      <c r="M7" s="8">
        <v>1.98</v>
      </c>
      <c r="N7" s="8">
        <v>4</v>
      </c>
      <c r="O7" s="8">
        <v>5</v>
      </c>
      <c r="P7" s="8" t="s">
        <v>515</v>
      </c>
      <c r="Q7" s="8" t="s">
        <v>516</v>
      </c>
      <c r="R7" t="str">
        <f t="shared" si="0"/>
        <v>instruction/notask.png</v>
      </c>
    </row>
    <row r="8" spans="1:18" x14ac:dyDescent="0.2">
      <c r="A8">
        <v>14</v>
      </c>
      <c r="B8" t="s">
        <v>366</v>
      </c>
      <c r="C8" t="s">
        <v>363</v>
      </c>
      <c r="D8" t="s">
        <v>364</v>
      </c>
      <c r="E8" t="s">
        <v>793</v>
      </c>
      <c r="F8" t="s">
        <v>517</v>
      </c>
      <c r="G8" t="s">
        <v>518</v>
      </c>
      <c r="H8" t="s">
        <v>519</v>
      </c>
      <c r="I8" t="s">
        <v>55</v>
      </c>
      <c r="J8" t="s">
        <v>54</v>
      </c>
      <c r="K8">
        <v>1</v>
      </c>
      <c r="L8" s="8">
        <v>1.579</v>
      </c>
      <c r="M8" s="8">
        <v>2.194</v>
      </c>
      <c r="N8" s="8">
        <v>2</v>
      </c>
      <c r="O8" s="8">
        <v>4</v>
      </c>
      <c r="P8" s="8" t="s">
        <v>520</v>
      </c>
      <c r="Q8" s="8" t="s">
        <v>521</v>
      </c>
      <c r="R8" t="str">
        <f t="shared" si="0"/>
        <v>instruction/notask.png</v>
      </c>
    </row>
    <row r="9" spans="1:18" x14ac:dyDescent="0.2">
      <c r="A9">
        <v>16</v>
      </c>
      <c r="B9" t="s">
        <v>366</v>
      </c>
      <c r="C9" t="s">
        <v>362</v>
      </c>
      <c r="D9" t="s">
        <v>364</v>
      </c>
      <c r="E9" t="s">
        <v>794</v>
      </c>
      <c r="F9" t="s">
        <v>522</v>
      </c>
      <c r="G9" t="s">
        <v>523</v>
      </c>
      <c r="H9" t="s">
        <v>524</v>
      </c>
      <c r="I9" t="s">
        <v>50</v>
      </c>
      <c r="J9" t="s">
        <v>49</v>
      </c>
      <c r="K9">
        <v>1</v>
      </c>
      <c r="L9" s="8">
        <v>1.466</v>
      </c>
      <c r="M9" s="8">
        <v>2.02</v>
      </c>
      <c r="N9" s="8">
        <v>3</v>
      </c>
      <c r="O9" s="8">
        <v>3</v>
      </c>
      <c r="P9" s="8" t="s">
        <v>525</v>
      </c>
      <c r="Q9" s="8" t="s">
        <v>526</v>
      </c>
      <c r="R9" t="str">
        <f t="shared" si="0"/>
        <v>instruction/articulation.png</v>
      </c>
    </row>
    <row r="10" spans="1:18" x14ac:dyDescent="0.2">
      <c r="A10">
        <v>18</v>
      </c>
      <c r="B10" t="s">
        <v>359</v>
      </c>
      <c r="C10" t="s">
        <v>362</v>
      </c>
      <c r="D10" t="s">
        <v>360</v>
      </c>
      <c r="E10" t="s">
        <v>795</v>
      </c>
      <c r="F10" t="s">
        <v>527</v>
      </c>
      <c r="G10" t="s">
        <v>528</v>
      </c>
      <c r="H10" t="s">
        <v>529</v>
      </c>
      <c r="I10" t="s">
        <v>38</v>
      </c>
      <c r="J10" t="s">
        <v>37</v>
      </c>
      <c r="K10">
        <v>2</v>
      </c>
      <c r="L10" s="8">
        <v>1.7150000000000001</v>
      </c>
      <c r="M10" s="8">
        <v>2.4900000000000002</v>
      </c>
      <c r="N10" s="8">
        <v>4</v>
      </c>
      <c r="O10" s="8">
        <v>6</v>
      </c>
      <c r="P10" s="8" t="s">
        <v>530</v>
      </c>
      <c r="Q10" s="8" t="s">
        <v>531</v>
      </c>
      <c r="R10" t="str">
        <f t="shared" si="0"/>
        <v>instruction/articulation.png</v>
      </c>
    </row>
    <row r="11" spans="1:18" x14ac:dyDescent="0.2">
      <c r="A11">
        <v>20</v>
      </c>
      <c r="B11" t="s">
        <v>359</v>
      </c>
      <c r="C11" t="s">
        <v>363</v>
      </c>
      <c r="D11" t="s">
        <v>360</v>
      </c>
      <c r="E11" t="s">
        <v>796</v>
      </c>
      <c r="F11" t="s">
        <v>532</v>
      </c>
      <c r="G11" t="s">
        <v>533</v>
      </c>
      <c r="H11" t="s">
        <v>534</v>
      </c>
      <c r="I11" t="s">
        <v>44</v>
      </c>
      <c r="J11" t="s">
        <v>47</v>
      </c>
      <c r="K11">
        <v>2</v>
      </c>
      <c r="L11" s="8">
        <v>1.7789999999999999</v>
      </c>
      <c r="M11" s="8">
        <v>2.331</v>
      </c>
      <c r="N11" s="8">
        <v>2</v>
      </c>
      <c r="O11" s="8">
        <v>5</v>
      </c>
      <c r="P11" s="8" t="s">
        <v>535</v>
      </c>
      <c r="Q11" s="8" t="s">
        <v>536</v>
      </c>
      <c r="R11" t="str">
        <f t="shared" si="0"/>
        <v>instruction/notask.png</v>
      </c>
    </row>
    <row r="12" spans="1:18" x14ac:dyDescent="0.2">
      <c r="A12">
        <v>22</v>
      </c>
      <c r="B12" t="s">
        <v>366</v>
      </c>
      <c r="C12" t="s">
        <v>363</v>
      </c>
      <c r="D12" t="s">
        <v>364</v>
      </c>
      <c r="E12" t="s">
        <v>797</v>
      </c>
      <c r="F12" t="s">
        <v>537</v>
      </c>
      <c r="G12" t="s">
        <v>538</v>
      </c>
      <c r="H12" t="s">
        <v>539</v>
      </c>
      <c r="I12" t="s">
        <v>66</v>
      </c>
      <c r="J12" t="s">
        <v>65</v>
      </c>
      <c r="K12">
        <v>1</v>
      </c>
      <c r="L12" s="8">
        <v>1.736</v>
      </c>
      <c r="M12" s="8">
        <v>2.2839999999999998</v>
      </c>
      <c r="N12" s="8">
        <v>3</v>
      </c>
      <c r="O12" s="8">
        <v>4</v>
      </c>
      <c r="P12" s="8" t="s">
        <v>540</v>
      </c>
      <c r="Q12" s="8" t="s">
        <v>541</v>
      </c>
      <c r="R12" t="str">
        <f t="shared" si="0"/>
        <v>instruction/notask.png</v>
      </c>
    </row>
    <row r="13" spans="1:18" x14ac:dyDescent="0.2">
      <c r="A13">
        <v>24</v>
      </c>
      <c r="B13" t="s">
        <v>366</v>
      </c>
      <c r="C13" t="s">
        <v>362</v>
      </c>
      <c r="D13" t="s">
        <v>364</v>
      </c>
      <c r="E13" t="s">
        <v>798</v>
      </c>
      <c r="F13" t="s">
        <v>542</v>
      </c>
      <c r="G13" t="s">
        <v>543</v>
      </c>
      <c r="H13" t="s">
        <v>544</v>
      </c>
      <c r="I13" t="s">
        <v>73</v>
      </c>
      <c r="J13" t="s">
        <v>71</v>
      </c>
      <c r="K13">
        <v>1</v>
      </c>
      <c r="L13" s="8">
        <v>1.5589999999999999</v>
      </c>
      <c r="M13" s="8">
        <v>2.3540000000000001</v>
      </c>
      <c r="N13" s="8">
        <v>4</v>
      </c>
      <c r="O13" s="8">
        <v>3</v>
      </c>
      <c r="P13" s="8" t="s">
        <v>545</v>
      </c>
      <c r="Q13" s="8" t="s">
        <v>546</v>
      </c>
      <c r="R13" t="str">
        <f t="shared" si="0"/>
        <v>instruction/articulation.png</v>
      </c>
    </row>
    <row r="14" spans="1:18" x14ac:dyDescent="0.2">
      <c r="A14">
        <v>104</v>
      </c>
      <c r="B14" t="s">
        <v>388</v>
      </c>
      <c r="C14" t="s">
        <v>363</v>
      </c>
      <c r="D14" t="s">
        <v>388</v>
      </c>
      <c r="E14" t="s">
        <v>706</v>
      </c>
      <c r="F14" t="s">
        <v>161</v>
      </c>
      <c r="G14" t="s">
        <v>179</v>
      </c>
      <c r="H14" t="s">
        <v>162</v>
      </c>
      <c r="I14" t="s">
        <v>164</v>
      </c>
      <c r="J14" t="s">
        <v>163</v>
      </c>
      <c r="K14">
        <v>2</v>
      </c>
      <c r="L14" s="8">
        <v>1.8080000000000001</v>
      </c>
      <c r="M14" s="8">
        <v>2.04</v>
      </c>
      <c r="N14" s="8">
        <v>2</v>
      </c>
      <c r="O14" s="8">
        <v>6</v>
      </c>
      <c r="P14" s="8" t="s">
        <v>547</v>
      </c>
      <c r="Q14" s="8" t="s">
        <v>548</v>
      </c>
      <c r="R14" t="str">
        <f t="shared" si="0"/>
        <v>instruction/notask.png</v>
      </c>
    </row>
    <row r="15" spans="1:18" x14ac:dyDescent="0.2">
      <c r="A15">
        <v>105</v>
      </c>
      <c r="B15" t="s">
        <v>388</v>
      </c>
      <c r="C15" t="s">
        <v>362</v>
      </c>
      <c r="D15" t="s">
        <v>388</v>
      </c>
      <c r="E15" t="s">
        <v>707</v>
      </c>
      <c r="F15" t="s">
        <v>222</v>
      </c>
      <c r="G15" t="s">
        <v>178</v>
      </c>
      <c r="H15" t="s">
        <v>158</v>
      </c>
      <c r="I15" t="s">
        <v>160</v>
      </c>
      <c r="J15" t="s">
        <v>159</v>
      </c>
      <c r="K15">
        <v>1</v>
      </c>
      <c r="L15" s="8">
        <v>1.3089999999999999</v>
      </c>
      <c r="M15" s="8">
        <v>2.0960000000000001</v>
      </c>
      <c r="N15" s="8">
        <v>3</v>
      </c>
      <c r="O15" s="8">
        <v>5</v>
      </c>
      <c r="P15" s="8" t="s">
        <v>549</v>
      </c>
      <c r="Q15" s="8" t="s">
        <v>550</v>
      </c>
      <c r="R15" t="str">
        <f t="shared" si="0"/>
        <v>instruction/articulation.png</v>
      </c>
    </row>
    <row r="16" spans="1:18" x14ac:dyDescent="0.2">
      <c r="A16">
        <v>106</v>
      </c>
      <c r="B16" t="s">
        <v>388</v>
      </c>
      <c r="C16" t="s">
        <v>363</v>
      </c>
      <c r="D16" t="s">
        <v>388</v>
      </c>
      <c r="E16" t="s">
        <v>708</v>
      </c>
      <c r="F16" t="s">
        <v>169</v>
      </c>
      <c r="G16" t="s">
        <v>165</v>
      </c>
      <c r="H16" t="s">
        <v>166</v>
      </c>
      <c r="I16" t="s">
        <v>168</v>
      </c>
      <c r="J16" t="s">
        <v>167</v>
      </c>
      <c r="K16">
        <v>2</v>
      </c>
      <c r="L16" s="8">
        <v>1.704</v>
      </c>
      <c r="M16" s="8">
        <v>1.718</v>
      </c>
      <c r="N16" s="8">
        <v>4</v>
      </c>
      <c r="O16" s="8">
        <v>4</v>
      </c>
      <c r="P16" s="8" t="s">
        <v>551</v>
      </c>
      <c r="Q16" s="8" t="s">
        <v>552</v>
      </c>
      <c r="R16" t="str">
        <f t="shared" si="0"/>
        <v>instruction/notask.png</v>
      </c>
    </row>
    <row r="17" spans="1:18" x14ac:dyDescent="0.2">
      <c r="A17">
        <v>113</v>
      </c>
      <c r="B17" t="s">
        <v>388</v>
      </c>
      <c r="C17" t="s">
        <v>362</v>
      </c>
      <c r="D17" t="s">
        <v>388</v>
      </c>
      <c r="E17" t="s">
        <v>709</v>
      </c>
      <c r="F17" t="s">
        <v>184</v>
      </c>
      <c r="G17" t="s">
        <v>185</v>
      </c>
      <c r="H17" t="s">
        <v>188</v>
      </c>
      <c r="I17" t="s">
        <v>186</v>
      </c>
      <c r="J17" t="s">
        <v>187</v>
      </c>
      <c r="K17">
        <v>1</v>
      </c>
      <c r="L17" s="8">
        <v>1.84</v>
      </c>
      <c r="M17" s="8">
        <v>1.591</v>
      </c>
      <c r="N17" s="8">
        <v>2</v>
      </c>
      <c r="O17" s="8">
        <v>3</v>
      </c>
      <c r="P17" s="8" t="s">
        <v>553</v>
      </c>
      <c r="Q17" s="8" t="s">
        <v>554</v>
      </c>
      <c r="R17" t="str">
        <f t="shared" si="0"/>
        <v>instruction/articulation.png</v>
      </c>
    </row>
    <row r="18" spans="1:18" x14ac:dyDescent="0.2">
      <c r="A18">
        <v>114</v>
      </c>
      <c r="B18" t="s">
        <v>388</v>
      </c>
      <c r="C18" t="s">
        <v>363</v>
      </c>
      <c r="D18" t="s">
        <v>388</v>
      </c>
      <c r="E18" t="s">
        <v>710</v>
      </c>
      <c r="F18" t="s">
        <v>249</v>
      </c>
      <c r="G18" t="s">
        <v>250</v>
      </c>
      <c r="H18" t="s">
        <v>189</v>
      </c>
      <c r="I18" t="s">
        <v>191</v>
      </c>
      <c r="J18" t="s">
        <v>190</v>
      </c>
      <c r="K18">
        <v>2</v>
      </c>
      <c r="L18" s="8">
        <v>1.593</v>
      </c>
      <c r="M18" s="8">
        <v>1.9450000000000001</v>
      </c>
      <c r="N18" s="8">
        <v>3</v>
      </c>
      <c r="O18" s="8">
        <v>6</v>
      </c>
      <c r="P18" s="8" t="s">
        <v>555</v>
      </c>
      <c r="Q18" s="8" t="s">
        <v>556</v>
      </c>
      <c r="R18" t="str">
        <f t="shared" si="0"/>
        <v>instruction/notask.png</v>
      </c>
    </row>
    <row r="19" spans="1:18" x14ac:dyDescent="0.2">
      <c r="A19">
        <v>115</v>
      </c>
      <c r="B19" t="s">
        <v>388</v>
      </c>
      <c r="C19" t="s">
        <v>362</v>
      </c>
      <c r="D19" t="s">
        <v>388</v>
      </c>
      <c r="E19" t="s">
        <v>711</v>
      </c>
      <c r="F19" t="s">
        <v>224</v>
      </c>
      <c r="G19" t="s">
        <v>223</v>
      </c>
      <c r="H19" t="s">
        <v>225</v>
      </c>
      <c r="I19" t="s">
        <v>226</v>
      </c>
      <c r="J19" t="s">
        <v>153</v>
      </c>
      <c r="K19">
        <v>1</v>
      </c>
      <c r="L19" s="8">
        <v>1.71</v>
      </c>
      <c r="M19" s="8">
        <v>2.0230000000000001</v>
      </c>
      <c r="N19" s="8">
        <v>4</v>
      </c>
      <c r="O19" s="8">
        <v>5</v>
      </c>
      <c r="P19" s="8" t="s">
        <v>557</v>
      </c>
      <c r="Q19" s="8" t="s">
        <v>558</v>
      </c>
      <c r="R19" t="str">
        <f t="shared" si="0"/>
        <v>instruction/articulation.png</v>
      </c>
    </row>
    <row r="20" spans="1:18" x14ac:dyDescent="0.2">
      <c r="A20">
        <v>128</v>
      </c>
      <c r="B20" t="s">
        <v>388</v>
      </c>
      <c r="C20" t="s">
        <v>363</v>
      </c>
      <c r="D20" t="s">
        <v>388</v>
      </c>
      <c r="E20" t="s">
        <v>712</v>
      </c>
      <c r="F20" t="s">
        <v>297</v>
      </c>
      <c r="G20" t="s">
        <v>298</v>
      </c>
      <c r="H20" t="s">
        <v>299</v>
      </c>
      <c r="I20" t="s">
        <v>296</v>
      </c>
      <c r="J20" t="s">
        <v>151</v>
      </c>
      <c r="K20">
        <v>2</v>
      </c>
      <c r="L20" s="8">
        <v>1.9159999999999999</v>
      </c>
      <c r="M20" s="8">
        <v>1.794</v>
      </c>
      <c r="N20" s="8">
        <v>2</v>
      </c>
      <c r="O20" s="8">
        <v>4</v>
      </c>
      <c r="P20" s="8" t="s">
        <v>559</v>
      </c>
      <c r="Q20" s="8" t="s">
        <v>560</v>
      </c>
      <c r="R20" t="str">
        <f t="shared" si="0"/>
        <v>instruction/notask.png</v>
      </c>
    </row>
    <row r="21" spans="1:18" x14ac:dyDescent="0.2">
      <c r="A21">
        <v>129</v>
      </c>
      <c r="B21" t="s">
        <v>388</v>
      </c>
      <c r="C21" t="s">
        <v>362</v>
      </c>
      <c r="D21" t="s">
        <v>388</v>
      </c>
      <c r="E21" t="s">
        <v>713</v>
      </c>
      <c r="F21" t="s">
        <v>277</v>
      </c>
      <c r="G21" t="s">
        <v>278</v>
      </c>
      <c r="H21" t="s">
        <v>279</v>
      </c>
      <c r="I21" t="s">
        <v>276</v>
      </c>
      <c r="J21" t="s">
        <v>275</v>
      </c>
      <c r="K21">
        <v>1</v>
      </c>
      <c r="L21" s="8">
        <v>2.2290000000000001</v>
      </c>
      <c r="M21" s="8">
        <v>1.869</v>
      </c>
      <c r="N21" s="8">
        <v>3</v>
      </c>
      <c r="O21" s="8">
        <v>3</v>
      </c>
      <c r="P21" s="8" t="s">
        <v>561</v>
      </c>
      <c r="Q21" s="8" t="s">
        <v>562</v>
      </c>
      <c r="R21" t="str">
        <f t="shared" si="0"/>
        <v>instruction/articulation.png</v>
      </c>
    </row>
    <row r="22" spans="1:18" x14ac:dyDescent="0.2">
      <c r="A22">
        <v>130</v>
      </c>
      <c r="B22" t="s">
        <v>388</v>
      </c>
      <c r="C22" t="s">
        <v>363</v>
      </c>
      <c r="D22" t="s">
        <v>388</v>
      </c>
      <c r="E22" t="s">
        <v>714</v>
      </c>
      <c r="F22" t="s">
        <v>285</v>
      </c>
      <c r="G22" t="s">
        <v>286</v>
      </c>
      <c r="H22" t="s">
        <v>287</v>
      </c>
      <c r="I22" t="s">
        <v>288</v>
      </c>
      <c r="J22" t="s">
        <v>289</v>
      </c>
      <c r="K22">
        <v>2</v>
      </c>
      <c r="L22" s="8">
        <v>2.0960000000000001</v>
      </c>
      <c r="M22" s="8">
        <v>1.855</v>
      </c>
      <c r="N22" s="8">
        <v>4</v>
      </c>
      <c r="O22" s="8">
        <v>6</v>
      </c>
      <c r="P22" s="8" t="s">
        <v>563</v>
      </c>
      <c r="Q22" s="8" t="s">
        <v>564</v>
      </c>
      <c r="R22" t="str">
        <f t="shared" si="0"/>
        <v>instruction/notask.png</v>
      </c>
    </row>
    <row r="23" spans="1:18" x14ac:dyDescent="0.2">
      <c r="A23">
        <v>137</v>
      </c>
      <c r="B23" t="s">
        <v>388</v>
      </c>
      <c r="C23" t="s">
        <v>362</v>
      </c>
      <c r="D23" t="s">
        <v>388</v>
      </c>
      <c r="E23" t="s">
        <v>715</v>
      </c>
      <c r="F23" t="s">
        <v>309</v>
      </c>
      <c r="G23" t="s">
        <v>310</v>
      </c>
      <c r="H23" t="s">
        <v>311</v>
      </c>
      <c r="I23" t="s">
        <v>312</v>
      </c>
      <c r="J23" t="s">
        <v>313</v>
      </c>
      <c r="K23">
        <v>1</v>
      </c>
      <c r="L23" s="8">
        <v>1.9590000000000001</v>
      </c>
      <c r="M23" s="8">
        <v>1.5089999999999999</v>
      </c>
      <c r="N23" s="8">
        <v>2</v>
      </c>
      <c r="O23" s="8">
        <v>5</v>
      </c>
      <c r="P23" s="8" t="s">
        <v>565</v>
      </c>
      <c r="Q23" s="8" t="s">
        <v>566</v>
      </c>
      <c r="R23" t="str">
        <f t="shared" si="0"/>
        <v>instruction/articulation.png</v>
      </c>
    </row>
    <row r="24" spans="1:18" x14ac:dyDescent="0.2">
      <c r="A24">
        <v>138</v>
      </c>
      <c r="B24" t="s">
        <v>388</v>
      </c>
      <c r="C24" t="s">
        <v>363</v>
      </c>
      <c r="D24" t="s">
        <v>388</v>
      </c>
      <c r="E24" t="s">
        <v>716</v>
      </c>
      <c r="F24" t="s">
        <v>316</v>
      </c>
      <c r="G24" t="s">
        <v>317</v>
      </c>
      <c r="H24" t="s">
        <v>322</v>
      </c>
      <c r="I24" t="s">
        <v>318</v>
      </c>
      <c r="J24" t="s">
        <v>319</v>
      </c>
      <c r="K24">
        <v>2</v>
      </c>
      <c r="L24" s="8">
        <v>1.895</v>
      </c>
      <c r="M24" s="8">
        <v>1.8340000000000001</v>
      </c>
      <c r="N24" s="8">
        <v>3</v>
      </c>
      <c r="O24" s="8">
        <v>4</v>
      </c>
      <c r="P24" s="8" t="s">
        <v>567</v>
      </c>
      <c r="Q24" s="8" t="s">
        <v>568</v>
      </c>
      <c r="R24" t="str">
        <f t="shared" si="0"/>
        <v>instruction/notask.png</v>
      </c>
    </row>
    <row r="25" spans="1:18" x14ac:dyDescent="0.2">
      <c r="A25">
        <v>139</v>
      </c>
      <c r="B25" t="s">
        <v>388</v>
      </c>
      <c r="C25" t="s">
        <v>362</v>
      </c>
      <c r="D25" t="s">
        <v>388</v>
      </c>
      <c r="E25" t="s">
        <v>717</v>
      </c>
      <c r="F25" t="s">
        <v>354</v>
      </c>
      <c r="G25" t="s">
        <v>350</v>
      </c>
      <c r="H25" t="s">
        <v>351</v>
      </c>
      <c r="I25" t="s">
        <v>353</v>
      </c>
      <c r="J25" t="s">
        <v>352</v>
      </c>
      <c r="K25">
        <v>1</v>
      </c>
      <c r="L25" s="8">
        <v>1.9590000000000001</v>
      </c>
      <c r="M25" s="8">
        <v>2.069</v>
      </c>
      <c r="N25" s="8">
        <v>4</v>
      </c>
      <c r="O25" s="8">
        <v>3</v>
      </c>
      <c r="P25" s="8" t="s">
        <v>569</v>
      </c>
      <c r="Q25" s="8" t="s">
        <v>570</v>
      </c>
      <c r="R25" t="str">
        <f t="shared" si="0"/>
        <v>instruction/articulation.png</v>
      </c>
    </row>
  </sheetData>
  <phoneticPr fontId="4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3E40C-4DC4-4D19-BAAC-6D0D5A20C65A}">
  <dimension ref="A1:R25"/>
  <sheetViews>
    <sheetView zoomScale="72" zoomScaleNormal="92" workbookViewId="0">
      <pane xSplit="4" topLeftCell="H1" activePane="topRight" state="frozen"/>
      <selection pane="topRight" activeCell="O2" sqref="O2:O25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4" width="13.1640625" style="8" customWidth="1"/>
    <col min="15" max="15" width="15.6640625" style="8" customWidth="1"/>
    <col min="16" max="16" width="25.1640625" customWidth="1"/>
    <col min="17" max="17" width="32.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1</v>
      </c>
      <c r="B2" t="s">
        <v>359</v>
      </c>
      <c r="C2" t="s">
        <v>362</v>
      </c>
      <c r="D2" t="s">
        <v>364</v>
      </c>
      <c r="E2" t="s">
        <v>774</v>
      </c>
      <c r="F2" t="s">
        <v>389</v>
      </c>
      <c r="G2" t="s">
        <v>390</v>
      </c>
      <c r="H2" t="s">
        <v>391</v>
      </c>
      <c r="I2" t="s">
        <v>0</v>
      </c>
      <c r="J2" t="s">
        <v>2</v>
      </c>
      <c r="K2">
        <v>1</v>
      </c>
      <c r="L2" s="8">
        <v>1.6830000000000001</v>
      </c>
      <c r="M2" s="8">
        <v>2.3250000000000002</v>
      </c>
      <c r="N2" s="8">
        <v>2</v>
      </c>
      <c r="O2" s="8">
        <v>6</v>
      </c>
      <c r="P2" s="8" t="s">
        <v>426</v>
      </c>
      <c r="Q2" s="8" t="s">
        <v>463</v>
      </c>
      <c r="R2" t="str">
        <f>IF(C2 = "articulation", "instruction/articulation.png", "instruction/notask.png")</f>
        <v>instruction/articulation.png</v>
      </c>
    </row>
    <row r="3" spans="1:18" x14ac:dyDescent="0.2">
      <c r="A3">
        <v>4</v>
      </c>
      <c r="B3" t="s">
        <v>359</v>
      </c>
      <c r="C3" t="s">
        <v>363</v>
      </c>
      <c r="D3" t="s">
        <v>360</v>
      </c>
      <c r="E3" t="s">
        <v>775</v>
      </c>
      <c r="F3" t="s">
        <v>392</v>
      </c>
      <c r="G3" t="s">
        <v>393</v>
      </c>
      <c r="H3" t="s">
        <v>394</v>
      </c>
      <c r="I3" t="s">
        <v>10</v>
      </c>
      <c r="J3" t="s">
        <v>53</v>
      </c>
      <c r="K3">
        <v>2</v>
      </c>
      <c r="L3" s="8">
        <v>1.5089999999999999</v>
      </c>
      <c r="M3" s="8">
        <v>2.601</v>
      </c>
      <c r="N3" s="8">
        <v>3</v>
      </c>
      <c r="O3" s="8">
        <v>5</v>
      </c>
      <c r="P3" s="8" t="s">
        <v>427</v>
      </c>
      <c r="Q3" s="8" t="s">
        <v>464</v>
      </c>
      <c r="R3" t="str">
        <f t="shared" ref="R3:R25" si="0">IF(C3 = "articulation", "instruction/articulation.png", "instruction/notask.png")</f>
        <v>instruction/notask.png</v>
      </c>
    </row>
    <row r="4" spans="1:18" x14ac:dyDescent="0.2">
      <c r="A4">
        <v>6</v>
      </c>
      <c r="B4" t="s">
        <v>366</v>
      </c>
      <c r="C4" t="s">
        <v>363</v>
      </c>
      <c r="D4" t="s">
        <v>364</v>
      </c>
      <c r="E4" t="s">
        <v>776</v>
      </c>
      <c r="F4" t="s">
        <v>395</v>
      </c>
      <c r="G4" t="s">
        <v>396</v>
      </c>
      <c r="H4" t="s">
        <v>397</v>
      </c>
      <c r="I4" t="s">
        <v>16</v>
      </c>
      <c r="J4" t="s">
        <v>15</v>
      </c>
      <c r="K4">
        <v>1</v>
      </c>
      <c r="L4" s="8">
        <v>1.8979999999999999</v>
      </c>
      <c r="M4" s="8">
        <v>2.2989999999999999</v>
      </c>
      <c r="N4" s="8">
        <v>4</v>
      </c>
      <c r="O4" s="8">
        <v>4</v>
      </c>
      <c r="P4" s="8" t="s">
        <v>428</v>
      </c>
      <c r="Q4" s="8" t="s">
        <v>465</v>
      </c>
      <c r="R4" t="str">
        <f t="shared" si="0"/>
        <v>instruction/notask.png</v>
      </c>
    </row>
    <row r="5" spans="1:18" x14ac:dyDescent="0.2">
      <c r="A5">
        <v>8</v>
      </c>
      <c r="B5" t="s">
        <v>366</v>
      </c>
      <c r="C5" t="s">
        <v>362</v>
      </c>
      <c r="D5" t="s">
        <v>364</v>
      </c>
      <c r="E5" t="s">
        <v>777</v>
      </c>
      <c r="F5" t="s">
        <v>398</v>
      </c>
      <c r="G5" t="s">
        <v>399</v>
      </c>
      <c r="H5" t="s">
        <v>400</v>
      </c>
      <c r="I5" t="s">
        <v>18</v>
      </c>
      <c r="J5" t="s">
        <v>23</v>
      </c>
      <c r="K5">
        <v>1</v>
      </c>
      <c r="L5" s="8">
        <v>1.8260000000000001</v>
      </c>
      <c r="M5" s="8">
        <v>2.2410000000000001</v>
      </c>
      <c r="N5" s="8">
        <v>2</v>
      </c>
      <c r="O5" s="8">
        <v>3</v>
      </c>
      <c r="P5" s="8" t="s">
        <v>429</v>
      </c>
      <c r="Q5" s="8" t="s">
        <v>466</v>
      </c>
      <c r="R5" t="str">
        <f t="shared" si="0"/>
        <v>instruction/articulation.png</v>
      </c>
    </row>
    <row r="6" spans="1:18" x14ac:dyDescent="0.2">
      <c r="A6">
        <v>10</v>
      </c>
      <c r="B6" t="s">
        <v>359</v>
      </c>
      <c r="C6" t="s">
        <v>362</v>
      </c>
      <c r="D6" t="s">
        <v>360</v>
      </c>
      <c r="E6" t="s">
        <v>778</v>
      </c>
      <c r="F6" t="s">
        <v>401</v>
      </c>
      <c r="G6" t="s">
        <v>402</v>
      </c>
      <c r="H6" t="s">
        <v>403</v>
      </c>
      <c r="I6" t="s">
        <v>24</v>
      </c>
      <c r="J6" t="s">
        <v>26</v>
      </c>
      <c r="K6">
        <v>2</v>
      </c>
      <c r="L6" s="8">
        <v>1.7529999999999999</v>
      </c>
      <c r="M6" s="8">
        <v>2.3479999999999999</v>
      </c>
      <c r="N6" s="8">
        <v>3</v>
      </c>
      <c r="O6" s="8">
        <v>6</v>
      </c>
      <c r="P6" s="8" t="s">
        <v>430</v>
      </c>
      <c r="Q6" s="8" t="s">
        <v>467</v>
      </c>
      <c r="R6" t="str">
        <f t="shared" si="0"/>
        <v>instruction/articulation.png</v>
      </c>
    </row>
    <row r="7" spans="1:18" x14ac:dyDescent="0.2">
      <c r="A7">
        <v>11</v>
      </c>
      <c r="B7" t="s">
        <v>359</v>
      </c>
      <c r="C7" t="s">
        <v>363</v>
      </c>
      <c r="D7" t="s">
        <v>364</v>
      </c>
      <c r="E7" t="s">
        <v>779</v>
      </c>
      <c r="F7" t="s">
        <v>404</v>
      </c>
      <c r="G7" t="s">
        <v>405</v>
      </c>
      <c r="H7" t="s">
        <v>406</v>
      </c>
      <c r="I7" t="s">
        <v>27</v>
      </c>
      <c r="J7" t="s">
        <v>28</v>
      </c>
      <c r="K7">
        <v>1</v>
      </c>
      <c r="L7" s="8">
        <v>1.585</v>
      </c>
      <c r="M7" s="8">
        <v>2.3450000000000002</v>
      </c>
      <c r="N7" s="8">
        <v>4</v>
      </c>
      <c r="O7" s="8">
        <v>5</v>
      </c>
      <c r="P7" s="8" t="s">
        <v>431</v>
      </c>
      <c r="Q7" s="8" t="s">
        <v>468</v>
      </c>
      <c r="R7" t="str">
        <f t="shared" si="0"/>
        <v>instruction/notask.png</v>
      </c>
    </row>
    <row r="8" spans="1:18" x14ac:dyDescent="0.2">
      <c r="A8">
        <v>13</v>
      </c>
      <c r="B8" t="s">
        <v>366</v>
      </c>
      <c r="C8" t="s">
        <v>363</v>
      </c>
      <c r="D8" t="s">
        <v>360</v>
      </c>
      <c r="E8" t="s">
        <v>780</v>
      </c>
      <c r="F8" t="s">
        <v>407</v>
      </c>
      <c r="G8" t="s">
        <v>408</v>
      </c>
      <c r="H8" t="s">
        <v>409</v>
      </c>
      <c r="I8" t="s">
        <v>35</v>
      </c>
      <c r="J8" t="s">
        <v>36</v>
      </c>
      <c r="K8">
        <v>2</v>
      </c>
      <c r="L8" s="8">
        <v>1.7729999999999999</v>
      </c>
      <c r="M8" s="8">
        <v>1.9710000000000001</v>
      </c>
      <c r="N8" s="8">
        <v>2</v>
      </c>
      <c r="O8" s="8">
        <v>4</v>
      </c>
      <c r="P8" s="8" t="s">
        <v>432</v>
      </c>
      <c r="Q8" s="8" t="s">
        <v>469</v>
      </c>
      <c r="R8" t="str">
        <f t="shared" si="0"/>
        <v>instruction/notask.png</v>
      </c>
    </row>
    <row r="9" spans="1:18" x14ac:dyDescent="0.2">
      <c r="A9">
        <v>15</v>
      </c>
      <c r="B9" t="s">
        <v>366</v>
      </c>
      <c r="C9" t="s">
        <v>362</v>
      </c>
      <c r="D9" t="s">
        <v>360</v>
      </c>
      <c r="E9" t="s">
        <v>781</v>
      </c>
      <c r="F9" t="s">
        <v>410</v>
      </c>
      <c r="G9" t="s">
        <v>411</v>
      </c>
      <c r="H9" t="s">
        <v>412</v>
      </c>
      <c r="I9" t="s">
        <v>57</v>
      </c>
      <c r="J9" t="s">
        <v>58</v>
      </c>
      <c r="K9">
        <v>2</v>
      </c>
      <c r="L9" s="8">
        <v>1.425</v>
      </c>
      <c r="M9" s="8">
        <v>2.56</v>
      </c>
      <c r="N9" s="8">
        <v>3</v>
      </c>
      <c r="O9" s="8">
        <v>3</v>
      </c>
      <c r="P9" s="8" t="s">
        <v>433</v>
      </c>
      <c r="Q9" s="8" t="s">
        <v>470</v>
      </c>
      <c r="R9" t="str">
        <f t="shared" si="0"/>
        <v>instruction/articulation.png</v>
      </c>
    </row>
    <row r="10" spans="1:18" x14ac:dyDescent="0.2">
      <c r="A10">
        <v>17</v>
      </c>
      <c r="B10" t="s">
        <v>359</v>
      </c>
      <c r="C10" t="s">
        <v>362</v>
      </c>
      <c r="D10" t="s">
        <v>364</v>
      </c>
      <c r="E10" t="s">
        <v>782</v>
      </c>
      <c r="F10" t="s">
        <v>413</v>
      </c>
      <c r="G10" t="s">
        <v>414</v>
      </c>
      <c r="H10" t="s">
        <v>415</v>
      </c>
      <c r="I10" t="s">
        <v>62</v>
      </c>
      <c r="J10" t="s">
        <v>63</v>
      </c>
      <c r="K10">
        <v>1</v>
      </c>
      <c r="L10" s="8">
        <v>1.44</v>
      </c>
      <c r="M10" s="8">
        <v>2.11</v>
      </c>
      <c r="N10" s="8">
        <v>4</v>
      </c>
      <c r="O10" s="8">
        <v>6</v>
      </c>
      <c r="P10" s="8" t="s">
        <v>434</v>
      </c>
      <c r="Q10" s="8" t="s">
        <v>471</v>
      </c>
      <c r="R10" t="str">
        <f t="shared" si="0"/>
        <v>instruction/articulation.png</v>
      </c>
    </row>
    <row r="11" spans="1:18" x14ac:dyDescent="0.2">
      <c r="A11">
        <v>19</v>
      </c>
      <c r="B11" t="s">
        <v>359</v>
      </c>
      <c r="C11" t="s">
        <v>363</v>
      </c>
      <c r="D11" t="s">
        <v>364</v>
      </c>
      <c r="E11" t="s">
        <v>783</v>
      </c>
      <c r="F11" t="s">
        <v>416</v>
      </c>
      <c r="G11" t="s">
        <v>417</v>
      </c>
      <c r="H11" t="s">
        <v>418</v>
      </c>
      <c r="I11" t="s">
        <v>40</v>
      </c>
      <c r="J11" t="s">
        <v>41</v>
      </c>
      <c r="K11">
        <v>1</v>
      </c>
      <c r="L11" s="8">
        <v>1.9239999999999999</v>
      </c>
      <c r="M11" s="8">
        <v>2.339</v>
      </c>
      <c r="N11" s="8">
        <v>2</v>
      </c>
      <c r="O11" s="8">
        <v>5</v>
      </c>
      <c r="P11" s="8" t="s">
        <v>435</v>
      </c>
      <c r="Q11" s="8" t="s">
        <v>472</v>
      </c>
      <c r="R11" t="str">
        <f t="shared" si="0"/>
        <v>instruction/notask.png</v>
      </c>
    </row>
    <row r="12" spans="1:18" x14ac:dyDescent="0.2">
      <c r="A12">
        <v>21</v>
      </c>
      <c r="B12" t="s">
        <v>366</v>
      </c>
      <c r="C12" t="s">
        <v>363</v>
      </c>
      <c r="D12" t="s">
        <v>360</v>
      </c>
      <c r="E12" t="s">
        <v>784</v>
      </c>
      <c r="F12" t="s">
        <v>419</v>
      </c>
      <c r="G12" t="s">
        <v>420</v>
      </c>
      <c r="H12" t="s">
        <v>421</v>
      </c>
      <c r="I12" t="s">
        <v>45</v>
      </c>
      <c r="J12" t="s">
        <v>48</v>
      </c>
      <c r="K12">
        <v>2</v>
      </c>
      <c r="L12" s="8">
        <v>1.849</v>
      </c>
      <c r="M12" s="8">
        <v>2.1440000000000001</v>
      </c>
      <c r="N12" s="8">
        <v>3</v>
      </c>
      <c r="O12" s="8">
        <v>4</v>
      </c>
      <c r="P12" s="8" t="s">
        <v>436</v>
      </c>
      <c r="Q12" s="8" t="s">
        <v>473</v>
      </c>
      <c r="R12" t="str">
        <f t="shared" si="0"/>
        <v>instruction/notask.png</v>
      </c>
    </row>
    <row r="13" spans="1:18" x14ac:dyDescent="0.2">
      <c r="A13">
        <v>23</v>
      </c>
      <c r="B13" t="s">
        <v>366</v>
      </c>
      <c r="C13" t="s">
        <v>362</v>
      </c>
      <c r="D13" t="s">
        <v>360</v>
      </c>
      <c r="E13" t="s">
        <v>785</v>
      </c>
      <c r="F13" t="s">
        <v>422</v>
      </c>
      <c r="G13" t="s">
        <v>423</v>
      </c>
      <c r="H13" t="s">
        <v>424</v>
      </c>
      <c r="I13" t="s">
        <v>70</v>
      </c>
      <c r="J13" t="s">
        <v>69</v>
      </c>
      <c r="K13">
        <v>2</v>
      </c>
      <c r="L13" s="8">
        <v>1.7390000000000001</v>
      </c>
      <c r="M13" s="8">
        <v>2.2000000000000002</v>
      </c>
      <c r="N13" s="8">
        <v>4</v>
      </c>
      <c r="O13" s="8">
        <v>3</v>
      </c>
      <c r="P13" s="8" t="s">
        <v>437</v>
      </c>
      <c r="Q13" s="8" t="s">
        <v>474</v>
      </c>
      <c r="R13" t="str">
        <f t="shared" si="0"/>
        <v>instruction/articulation.png</v>
      </c>
    </row>
    <row r="14" spans="1:18" x14ac:dyDescent="0.2">
      <c r="A14">
        <v>101</v>
      </c>
      <c r="B14" t="s">
        <v>388</v>
      </c>
      <c r="C14" t="s">
        <v>363</v>
      </c>
      <c r="D14" t="s">
        <v>388</v>
      </c>
      <c r="E14" t="s">
        <v>694</v>
      </c>
      <c r="F14" t="s">
        <v>220</v>
      </c>
      <c r="G14" t="s">
        <v>221</v>
      </c>
      <c r="H14" t="s">
        <v>204</v>
      </c>
      <c r="I14" t="s">
        <v>205</v>
      </c>
      <c r="J14" t="s">
        <v>206</v>
      </c>
      <c r="K14">
        <v>1</v>
      </c>
      <c r="L14" s="8">
        <v>1.736</v>
      </c>
      <c r="M14" s="8">
        <v>2.1509999999999998</v>
      </c>
      <c r="N14" s="8">
        <v>2</v>
      </c>
      <c r="O14" s="8">
        <v>6</v>
      </c>
      <c r="P14" s="8" t="s">
        <v>439</v>
      </c>
      <c r="Q14" s="8" t="s">
        <v>440</v>
      </c>
      <c r="R14" t="str">
        <f t="shared" si="0"/>
        <v>instruction/notask.png</v>
      </c>
    </row>
    <row r="15" spans="1:18" x14ac:dyDescent="0.2">
      <c r="A15">
        <v>102</v>
      </c>
      <c r="B15" t="s">
        <v>388</v>
      </c>
      <c r="C15" t="s">
        <v>362</v>
      </c>
      <c r="D15" t="s">
        <v>388</v>
      </c>
      <c r="E15" t="s">
        <v>695</v>
      </c>
      <c r="F15" t="s">
        <v>175</v>
      </c>
      <c r="G15" t="s">
        <v>180</v>
      </c>
      <c r="H15" t="s">
        <v>207</v>
      </c>
      <c r="I15" t="s">
        <v>208</v>
      </c>
      <c r="J15" t="s">
        <v>209</v>
      </c>
      <c r="K15">
        <v>2</v>
      </c>
      <c r="L15" s="8">
        <v>2.0289999999999999</v>
      </c>
      <c r="M15" s="8">
        <v>1.605</v>
      </c>
      <c r="N15" s="8">
        <v>3</v>
      </c>
      <c r="O15" s="8">
        <v>5</v>
      </c>
      <c r="P15" s="8" t="s">
        <v>441</v>
      </c>
      <c r="Q15" s="8" t="s">
        <v>442</v>
      </c>
      <c r="R15" t="str">
        <f t="shared" si="0"/>
        <v>instruction/articulation.png</v>
      </c>
    </row>
    <row r="16" spans="1:18" x14ac:dyDescent="0.2">
      <c r="A16">
        <v>103</v>
      </c>
      <c r="B16" t="s">
        <v>388</v>
      </c>
      <c r="C16" t="s">
        <v>363</v>
      </c>
      <c r="D16" t="s">
        <v>388</v>
      </c>
      <c r="E16" t="s">
        <v>696</v>
      </c>
      <c r="F16" t="s">
        <v>200</v>
      </c>
      <c r="G16" t="s">
        <v>201</v>
      </c>
      <c r="H16" t="s">
        <v>202</v>
      </c>
      <c r="I16" t="s">
        <v>152</v>
      </c>
      <c r="J16" t="s">
        <v>203</v>
      </c>
      <c r="K16">
        <v>1</v>
      </c>
      <c r="L16" s="8">
        <v>1.718</v>
      </c>
      <c r="M16" s="8">
        <v>1.4279999999999999</v>
      </c>
      <c r="N16" s="8">
        <v>4</v>
      </c>
      <c r="O16" s="8">
        <v>4</v>
      </c>
      <c r="P16" s="8" t="s">
        <v>443</v>
      </c>
      <c r="Q16" s="8" t="s">
        <v>444</v>
      </c>
      <c r="R16" t="str">
        <f t="shared" si="0"/>
        <v>instruction/notask.png</v>
      </c>
    </row>
    <row r="17" spans="1:18" x14ac:dyDescent="0.2">
      <c r="A17">
        <v>116</v>
      </c>
      <c r="B17" t="s">
        <v>388</v>
      </c>
      <c r="C17" t="s">
        <v>362</v>
      </c>
      <c r="D17" t="s">
        <v>388</v>
      </c>
      <c r="E17" t="s">
        <v>697</v>
      </c>
      <c r="F17" t="s">
        <v>251</v>
      </c>
      <c r="G17" t="s">
        <v>252</v>
      </c>
      <c r="H17" t="s">
        <v>192</v>
      </c>
      <c r="I17" t="s">
        <v>194</v>
      </c>
      <c r="J17" t="s">
        <v>193</v>
      </c>
      <c r="K17">
        <v>2</v>
      </c>
      <c r="L17" s="8">
        <v>1.736</v>
      </c>
      <c r="M17" s="8">
        <v>2.0489999999999999</v>
      </c>
      <c r="N17" s="8">
        <v>2</v>
      </c>
      <c r="O17" s="8">
        <v>3</v>
      </c>
      <c r="P17" s="8" t="s">
        <v>445</v>
      </c>
      <c r="Q17" s="8" t="s">
        <v>446</v>
      </c>
      <c r="R17" t="str">
        <f t="shared" si="0"/>
        <v>instruction/articulation.png</v>
      </c>
    </row>
    <row r="18" spans="1:18" x14ac:dyDescent="0.2">
      <c r="A18">
        <v>117</v>
      </c>
      <c r="B18" t="s">
        <v>388</v>
      </c>
      <c r="C18" t="s">
        <v>363</v>
      </c>
      <c r="D18" t="s">
        <v>388</v>
      </c>
      <c r="E18" t="s">
        <v>698</v>
      </c>
      <c r="F18" t="s">
        <v>195</v>
      </c>
      <c r="G18" t="s">
        <v>196</v>
      </c>
      <c r="H18" t="s">
        <v>197</v>
      </c>
      <c r="I18" t="s">
        <v>198</v>
      </c>
      <c r="J18" t="s">
        <v>199</v>
      </c>
      <c r="K18">
        <v>1</v>
      </c>
      <c r="L18" s="8">
        <v>2.258</v>
      </c>
      <c r="M18" s="8">
        <v>1.698</v>
      </c>
      <c r="N18" s="8">
        <v>3</v>
      </c>
      <c r="O18" s="8">
        <v>6</v>
      </c>
      <c r="P18" s="8" t="s">
        <v>447</v>
      </c>
      <c r="Q18" s="8" t="s">
        <v>448</v>
      </c>
      <c r="R18" t="str">
        <f t="shared" si="0"/>
        <v>instruction/notask.png</v>
      </c>
    </row>
    <row r="19" spans="1:18" x14ac:dyDescent="0.2">
      <c r="A19">
        <v>118</v>
      </c>
      <c r="B19" t="s">
        <v>388</v>
      </c>
      <c r="C19" t="s">
        <v>362</v>
      </c>
      <c r="D19" t="s">
        <v>388</v>
      </c>
      <c r="E19" t="s">
        <v>699</v>
      </c>
      <c r="F19" t="s">
        <v>213</v>
      </c>
      <c r="G19" t="s">
        <v>214</v>
      </c>
      <c r="H19" t="s">
        <v>215</v>
      </c>
      <c r="I19" t="s">
        <v>154</v>
      </c>
      <c r="J19" t="s">
        <v>216</v>
      </c>
      <c r="K19">
        <v>2</v>
      </c>
      <c r="L19" s="8">
        <v>1.53</v>
      </c>
      <c r="M19" s="8">
        <v>1.9330000000000001</v>
      </c>
      <c r="N19" s="8">
        <v>4</v>
      </c>
      <c r="O19" s="8">
        <v>5</v>
      </c>
      <c r="P19" s="8" t="s">
        <v>449</v>
      </c>
      <c r="Q19" s="8" t="s">
        <v>450</v>
      </c>
      <c r="R19" t="str">
        <f t="shared" si="0"/>
        <v>instruction/articulation.png</v>
      </c>
    </row>
    <row r="20" spans="1:18" x14ac:dyDescent="0.2">
      <c r="A20">
        <v>125</v>
      </c>
      <c r="B20" t="s">
        <v>388</v>
      </c>
      <c r="C20" t="s">
        <v>363</v>
      </c>
      <c r="D20" t="s">
        <v>388</v>
      </c>
      <c r="E20" t="s">
        <v>700</v>
      </c>
      <c r="F20" t="s">
        <v>254</v>
      </c>
      <c r="G20" t="s">
        <v>261</v>
      </c>
      <c r="H20" t="s">
        <v>255</v>
      </c>
      <c r="I20" t="s">
        <v>256</v>
      </c>
      <c r="J20" t="s">
        <v>257</v>
      </c>
      <c r="K20">
        <v>1</v>
      </c>
      <c r="L20" s="8">
        <v>1.863</v>
      </c>
      <c r="M20" s="8">
        <v>2.145</v>
      </c>
      <c r="N20" s="8">
        <v>2</v>
      </c>
      <c r="O20" s="8">
        <v>4</v>
      </c>
      <c r="P20" s="8" t="s">
        <v>451</v>
      </c>
      <c r="Q20" s="8" t="s">
        <v>452</v>
      </c>
      <c r="R20" t="str">
        <f t="shared" si="0"/>
        <v>instruction/notask.png</v>
      </c>
    </row>
    <row r="21" spans="1:18" x14ac:dyDescent="0.2">
      <c r="A21">
        <v>126</v>
      </c>
      <c r="B21" t="s">
        <v>388</v>
      </c>
      <c r="C21" t="s">
        <v>362</v>
      </c>
      <c r="D21" t="s">
        <v>388</v>
      </c>
      <c r="E21" t="s">
        <v>701</v>
      </c>
      <c r="F21" t="s">
        <v>270</v>
      </c>
      <c r="G21" t="s">
        <v>258</v>
      </c>
      <c r="H21" t="s">
        <v>265</v>
      </c>
      <c r="I21" t="s">
        <v>157</v>
      </c>
      <c r="J21" t="s">
        <v>259</v>
      </c>
      <c r="K21">
        <v>2</v>
      </c>
      <c r="L21" s="8">
        <v>1.91</v>
      </c>
      <c r="M21" s="8">
        <v>2.1739999999999999</v>
      </c>
      <c r="N21" s="8">
        <v>3</v>
      </c>
      <c r="O21" s="8">
        <v>3</v>
      </c>
      <c r="P21" s="8" t="s">
        <v>453</v>
      </c>
      <c r="Q21" s="8" t="s">
        <v>454</v>
      </c>
      <c r="R21" t="str">
        <f t="shared" si="0"/>
        <v>instruction/articulation.png</v>
      </c>
    </row>
    <row r="22" spans="1:18" x14ac:dyDescent="0.2">
      <c r="A22">
        <v>127</v>
      </c>
      <c r="B22" t="s">
        <v>388</v>
      </c>
      <c r="C22" t="s">
        <v>363</v>
      </c>
      <c r="D22" t="s">
        <v>388</v>
      </c>
      <c r="E22" t="s">
        <v>702</v>
      </c>
      <c r="F22" t="s">
        <v>290</v>
      </c>
      <c r="G22" t="s">
        <v>266</v>
      </c>
      <c r="H22" t="s">
        <v>267</v>
      </c>
      <c r="I22" t="s">
        <v>291</v>
      </c>
      <c r="J22" t="s">
        <v>268</v>
      </c>
      <c r="K22">
        <v>1</v>
      </c>
      <c r="L22" s="8">
        <v>2.1509999999999998</v>
      </c>
      <c r="M22" s="8">
        <v>1.7849999999999999</v>
      </c>
      <c r="N22" s="8">
        <v>4</v>
      </c>
      <c r="O22" s="8">
        <v>6</v>
      </c>
      <c r="P22" s="8" t="s">
        <v>455</v>
      </c>
      <c r="Q22" s="8" t="s">
        <v>456</v>
      </c>
      <c r="R22" t="str">
        <f t="shared" si="0"/>
        <v>instruction/notask.png</v>
      </c>
    </row>
    <row r="23" spans="1:18" x14ac:dyDescent="0.2">
      <c r="A23">
        <v>140</v>
      </c>
      <c r="B23" t="s">
        <v>388</v>
      </c>
      <c r="C23" t="s">
        <v>362</v>
      </c>
      <c r="D23" t="s">
        <v>388</v>
      </c>
      <c r="E23" t="s">
        <v>703</v>
      </c>
      <c r="F23" t="s">
        <v>326</v>
      </c>
      <c r="G23" t="s">
        <v>327</v>
      </c>
      <c r="H23" t="s">
        <v>330</v>
      </c>
      <c r="I23" t="s">
        <v>328</v>
      </c>
      <c r="J23" t="s">
        <v>325</v>
      </c>
      <c r="K23">
        <v>2</v>
      </c>
      <c r="L23" s="8">
        <v>2.2349999999999999</v>
      </c>
      <c r="M23" s="8">
        <v>1.82</v>
      </c>
      <c r="N23" s="8">
        <v>2</v>
      </c>
      <c r="O23" s="8">
        <v>5</v>
      </c>
      <c r="P23" s="8" t="s">
        <v>457</v>
      </c>
      <c r="Q23" s="8" t="s">
        <v>458</v>
      </c>
      <c r="R23" t="str">
        <f t="shared" si="0"/>
        <v>instruction/articulation.png</v>
      </c>
    </row>
    <row r="24" spans="1:18" x14ac:dyDescent="0.2">
      <c r="A24">
        <v>141</v>
      </c>
      <c r="B24" t="s">
        <v>388</v>
      </c>
      <c r="C24" t="s">
        <v>363</v>
      </c>
      <c r="D24" t="s">
        <v>388</v>
      </c>
      <c r="E24" t="s">
        <v>704</v>
      </c>
      <c r="F24" t="s">
        <v>332</v>
      </c>
      <c r="G24" t="s">
        <v>340</v>
      </c>
      <c r="H24" t="s">
        <v>343</v>
      </c>
      <c r="I24" t="s">
        <v>333</v>
      </c>
      <c r="J24" t="s">
        <v>334</v>
      </c>
      <c r="K24">
        <v>1</v>
      </c>
      <c r="L24" s="8">
        <v>2.04</v>
      </c>
      <c r="M24" s="8">
        <v>1.9850000000000001</v>
      </c>
      <c r="N24" s="8">
        <v>3</v>
      </c>
      <c r="O24" s="8">
        <v>4</v>
      </c>
      <c r="P24" s="8" t="s">
        <v>459</v>
      </c>
      <c r="Q24" s="8" t="s">
        <v>460</v>
      </c>
      <c r="R24" t="str">
        <f t="shared" si="0"/>
        <v>instruction/notask.png</v>
      </c>
    </row>
    <row r="25" spans="1:18" x14ac:dyDescent="0.2">
      <c r="A25">
        <v>142</v>
      </c>
      <c r="B25" t="s">
        <v>388</v>
      </c>
      <c r="C25" t="s">
        <v>362</v>
      </c>
      <c r="D25" t="s">
        <v>388</v>
      </c>
      <c r="E25" t="s">
        <v>705</v>
      </c>
      <c r="F25" t="s">
        <v>335</v>
      </c>
      <c r="G25" t="s">
        <v>336</v>
      </c>
      <c r="H25" t="s">
        <v>337</v>
      </c>
      <c r="I25" t="s">
        <v>338</v>
      </c>
      <c r="J25" t="s">
        <v>339</v>
      </c>
      <c r="K25">
        <v>2</v>
      </c>
      <c r="L25" s="8">
        <v>2.1190000000000002</v>
      </c>
      <c r="M25" s="8">
        <v>1.724</v>
      </c>
      <c r="N25" s="8">
        <v>4</v>
      </c>
      <c r="O25" s="8">
        <v>3</v>
      </c>
      <c r="P25" s="8" t="s">
        <v>461</v>
      </c>
      <c r="Q25" s="8" t="s">
        <v>462</v>
      </c>
      <c r="R25" t="str">
        <f t="shared" si="0"/>
        <v>instruction/articulation.png</v>
      </c>
    </row>
  </sheetData>
  <phoneticPr fontId="4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235A6-9844-47D3-9084-DD74C28D3779}">
  <dimension ref="A1:R25"/>
  <sheetViews>
    <sheetView zoomScale="72" zoomScaleNormal="92" workbookViewId="0">
      <pane xSplit="4" topLeftCell="N1" activePane="topRight" state="frozen"/>
      <selection pane="topRight" activeCell="O2" sqref="O2:O25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4" width="13.1640625" style="8" customWidth="1"/>
    <col min="15" max="15" width="15.6640625" style="8" customWidth="1"/>
    <col min="16" max="17" width="25.164062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2</v>
      </c>
      <c r="B2" t="s">
        <v>366</v>
      </c>
      <c r="C2" t="s">
        <v>362</v>
      </c>
      <c r="D2" t="s">
        <v>360</v>
      </c>
      <c r="E2" t="s">
        <v>633</v>
      </c>
      <c r="F2" t="s">
        <v>645</v>
      </c>
      <c r="G2" t="s">
        <v>488</v>
      </c>
      <c r="H2" t="s">
        <v>489</v>
      </c>
      <c r="I2" t="s">
        <v>5</v>
      </c>
      <c r="J2" t="s">
        <v>8</v>
      </c>
      <c r="K2">
        <v>2</v>
      </c>
      <c r="L2" s="8">
        <v>1.89</v>
      </c>
      <c r="M2" s="8">
        <v>2.0489999999999999</v>
      </c>
      <c r="N2" s="8">
        <v>2</v>
      </c>
      <c r="O2" s="8">
        <v>6</v>
      </c>
      <c r="P2" s="8" t="s">
        <v>646</v>
      </c>
      <c r="Q2" s="8" t="s">
        <v>491</v>
      </c>
      <c r="R2" t="str">
        <f>IF(C2 = "articulation", "instruction/articulation.png", "instruction/notask.png")</f>
        <v>instruction/articulation.png</v>
      </c>
    </row>
    <row r="3" spans="1:18" x14ac:dyDescent="0.2">
      <c r="A3">
        <v>3</v>
      </c>
      <c r="B3" t="s">
        <v>366</v>
      </c>
      <c r="C3" t="s">
        <v>362</v>
      </c>
      <c r="D3" t="s">
        <v>364</v>
      </c>
      <c r="E3" t="s">
        <v>634</v>
      </c>
      <c r="F3" t="s">
        <v>647</v>
      </c>
      <c r="G3" t="s">
        <v>493</v>
      </c>
      <c r="H3" t="s">
        <v>494</v>
      </c>
      <c r="I3" t="s">
        <v>6</v>
      </c>
      <c r="J3" t="s">
        <v>7</v>
      </c>
      <c r="K3">
        <v>1</v>
      </c>
      <c r="L3" s="8">
        <v>1.579</v>
      </c>
      <c r="M3" s="8">
        <v>2.069</v>
      </c>
      <c r="N3" s="8">
        <v>3</v>
      </c>
      <c r="O3" s="8">
        <v>5</v>
      </c>
      <c r="P3" s="8" t="s">
        <v>648</v>
      </c>
      <c r="Q3" s="8" t="s">
        <v>496</v>
      </c>
      <c r="R3" t="str">
        <f t="shared" ref="R3:R25" si="0">IF(C3 = "articulation", "instruction/articulation.png", "instruction/notask.png")</f>
        <v>instruction/articulation.png</v>
      </c>
    </row>
    <row r="4" spans="1:18" x14ac:dyDescent="0.2">
      <c r="A4">
        <v>5</v>
      </c>
      <c r="B4" t="s">
        <v>359</v>
      </c>
      <c r="C4" t="s">
        <v>362</v>
      </c>
      <c r="D4" t="s">
        <v>360</v>
      </c>
      <c r="E4" t="s">
        <v>635</v>
      </c>
      <c r="F4" t="s">
        <v>649</v>
      </c>
      <c r="G4" t="s">
        <v>498</v>
      </c>
      <c r="H4" t="s">
        <v>499</v>
      </c>
      <c r="I4" t="s">
        <v>13</v>
      </c>
      <c r="J4" t="s">
        <v>12</v>
      </c>
      <c r="K4">
        <v>2</v>
      </c>
      <c r="L4" s="8">
        <v>1.7529999999999999</v>
      </c>
      <c r="M4" s="8">
        <v>2.0750000000000002</v>
      </c>
      <c r="N4" s="8">
        <v>4</v>
      </c>
      <c r="O4" s="8">
        <v>4</v>
      </c>
      <c r="P4" s="8" t="s">
        <v>650</v>
      </c>
      <c r="Q4" s="8" t="s">
        <v>501</v>
      </c>
      <c r="R4" t="str">
        <f t="shared" si="0"/>
        <v>instruction/articulation.png</v>
      </c>
    </row>
    <row r="5" spans="1:18" x14ac:dyDescent="0.2">
      <c r="A5">
        <v>7</v>
      </c>
      <c r="B5" t="s">
        <v>359</v>
      </c>
      <c r="C5" t="s">
        <v>363</v>
      </c>
      <c r="D5" t="s">
        <v>360</v>
      </c>
      <c r="E5" t="s">
        <v>636</v>
      </c>
      <c r="F5" t="s">
        <v>651</v>
      </c>
      <c r="G5" t="s">
        <v>503</v>
      </c>
      <c r="H5" t="s">
        <v>504</v>
      </c>
      <c r="I5" t="s">
        <v>20</v>
      </c>
      <c r="J5" t="s">
        <v>22</v>
      </c>
      <c r="K5">
        <v>2</v>
      </c>
      <c r="L5" s="8">
        <v>1.91</v>
      </c>
      <c r="M5" s="8">
        <v>2.395</v>
      </c>
      <c r="N5" s="8">
        <v>2</v>
      </c>
      <c r="O5" s="8">
        <v>3</v>
      </c>
      <c r="P5" s="8" t="s">
        <v>652</v>
      </c>
      <c r="Q5" s="8" t="s">
        <v>506</v>
      </c>
      <c r="R5" t="str">
        <f t="shared" si="0"/>
        <v>instruction/notask.png</v>
      </c>
    </row>
    <row r="6" spans="1:18" x14ac:dyDescent="0.2">
      <c r="A6">
        <v>9</v>
      </c>
      <c r="B6" t="s">
        <v>366</v>
      </c>
      <c r="C6" t="s">
        <v>363</v>
      </c>
      <c r="D6" t="s">
        <v>364</v>
      </c>
      <c r="E6" t="s">
        <v>637</v>
      </c>
      <c r="F6" t="s">
        <v>653</v>
      </c>
      <c r="G6" t="s">
        <v>508</v>
      </c>
      <c r="H6" t="s">
        <v>509</v>
      </c>
      <c r="I6" t="s">
        <v>60</v>
      </c>
      <c r="J6" t="s">
        <v>59</v>
      </c>
      <c r="K6">
        <v>1</v>
      </c>
      <c r="L6" s="8">
        <v>1.7150000000000001</v>
      </c>
      <c r="M6" s="8">
        <v>2.165</v>
      </c>
      <c r="N6" s="8">
        <v>3</v>
      </c>
      <c r="O6" s="8">
        <v>6</v>
      </c>
      <c r="P6" s="8" t="s">
        <v>654</v>
      </c>
      <c r="Q6" s="8" t="s">
        <v>511</v>
      </c>
      <c r="R6" t="str">
        <f t="shared" si="0"/>
        <v>instruction/notask.png</v>
      </c>
    </row>
    <row r="7" spans="1:18" x14ac:dyDescent="0.2">
      <c r="A7">
        <v>12</v>
      </c>
      <c r="B7" t="s">
        <v>366</v>
      </c>
      <c r="C7" t="s">
        <v>363</v>
      </c>
      <c r="D7" t="s">
        <v>360</v>
      </c>
      <c r="E7" t="s">
        <v>638</v>
      </c>
      <c r="F7" t="s">
        <v>655</v>
      </c>
      <c r="G7" t="s">
        <v>513</v>
      </c>
      <c r="H7" t="s">
        <v>514</v>
      </c>
      <c r="I7" t="s">
        <v>32</v>
      </c>
      <c r="J7" t="s">
        <v>33</v>
      </c>
      <c r="K7">
        <v>2</v>
      </c>
      <c r="L7" s="8">
        <v>1.9710000000000001</v>
      </c>
      <c r="M7" s="8">
        <v>1.98</v>
      </c>
      <c r="N7" s="8">
        <v>4</v>
      </c>
      <c r="O7" s="8">
        <v>5</v>
      </c>
      <c r="P7" s="8" t="s">
        <v>656</v>
      </c>
      <c r="Q7" s="8" t="s">
        <v>516</v>
      </c>
      <c r="R7" t="str">
        <f t="shared" si="0"/>
        <v>instruction/notask.png</v>
      </c>
    </row>
    <row r="8" spans="1:18" x14ac:dyDescent="0.2">
      <c r="A8">
        <v>14</v>
      </c>
      <c r="B8" t="s">
        <v>359</v>
      </c>
      <c r="C8" t="s">
        <v>363</v>
      </c>
      <c r="D8" t="s">
        <v>364</v>
      </c>
      <c r="E8" t="s">
        <v>639</v>
      </c>
      <c r="F8" t="s">
        <v>657</v>
      </c>
      <c r="G8" t="s">
        <v>518</v>
      </c>
      <c r="H8" t="s">
        <v>519</v>
      </c>
      <c r="I8" t="s">
        <v>54</v>
      </c>
      <c r="J8" t="s">
        <v>55</v>
      </c>
      <c r="K8">
        <v>1</v>
      </c>
      <c r="L8" s="8">
        <v>1.663</v>
      </c>
      <c r="M8" s="8">
        <v>2.194</v>
      </c>
      <c r="N8" s="8">
        <v>2</v>
      </c>
      <c r="O8" s="8">
        <v>4</v>
      </c>
      <c r="P8" s="8" t="s">
        <v>658</v>
      </c>
      <c r="Q8" s="8" t="s">
        <v>521</v>
      </c>
      <c r="R8" t="str">
        <f t="shared" si="0"/>
        <v>instruction/notask.png</v>
      </c>
    </row>
    <row r="9" spans="1:18" x14ac:dyDescent="0.2">
      <c r="A9">
        <v>16</v>
      </c>
      <c r="B9" t="s">
        <v>359</v>
      </c>
      <c r="C9" t="s">
        <v>362</v>
      </c>
      <c r="D9" t="s">
        <v>364</v>
      </c>
      <c r="E9" t="s">
        <v>640</v>
      </c>
      <c r="F9" t="s">
        <v>659</v>
      </c>
      <c r="G9" t="s">
        <v>523</v>
      </c>
      <c r="H9" t="s">
        <v>524</v>
      </c>
      <c r="I9" t="s">
        <v>49</v>
      </c>
      <c r="J9" t="s">
        <v>50</v>
      </c>
      <c r="K9">
        <v>1</v>
      </c>
      <c r="L9" s="8">
        <v>1.405</v>
      </c>
      <c r="M9" s="8">
        <v>2.02</v>
      </c>
      <c r="N9" s="8">
        <v>3</v>
      </c>
      <c r="O9" s="8">
        <v>3</v>
      </c>
      <c r="P9" s="8" t="s">
        <v>660</v>
      </c>
      <c r="Q9" s="8" t="s">
        <v>526</v>
      </c>
      <c r="R9" t="str">
        <f t="shared" si="0"/>
        <v>instruction/articulation.png</v>
      </c>
    </row>
    <row r="10" spans="1:18" x14ac:dyDescent="0.2">
      <c r="A10">
        <v>18</v>
      </c>
      <c r="B10" t="s">
        <v>366</v>
      </c>
      <c r="C10" t="s">
        <v>362</v>
      </c>
      <c r="D10" t="s">
        <v>360</v>
      </c>
      <c r="E10" t="s">
        <v>641</v>
      </c>
      <c r="F10" t="s">
        <v>661</v>
      </c>
      <c r="G10" t="s">
        <v>528</v>
      </c>
      <c r="H10" t="s">
        <v>529</v>
      </c>
      <c r="I10" t="s">
        <v>37</v>
      </c>
      <c r="J10" t="s">
        <v>38</v>
      </c>
      <c r="K10">
        <v>2</v>
      </c>
      <c r="L10" s="8">
        <v>1.736</v>
      </c>
      <c r="M10" s="8">
        <v>2.4900000000000002</v>
      </c>
      <c r="N10" s="8">
        <v>4</v>
      </c>
      <c r="O10" s="8">
        <v>6</v>
      </c>
      <c r="P10" s="8" t="s">
        <v>662</v>
      </c>
      <c r="Q10" s="8" t="s">
        <v>531</v>
      </c>
      <c r="R10" t="str">
        <f t="shared" si="0"/>
        <v>instruction/articulation.png</v>
      </c>
    </row>
    <row r="11" spans="1:18" x14ac:dyDescent="0.2">
      <c r="A11">
        <v>20</v>
      </c>
      <c r="B11" t="s">
        <v>366</v>
      </c>
      <c r="C11" t="s">
        <v>363</v>
      </c>
      <c r="D11" t="s">
        <v>360</v>
      </c>
      <c r="E11" t="s">
        <v>642</v>
      </c>
      <c r="F11" t="s">
        <v>663</v>
      </c>
      <c r="G11" t="s">
        <v>533</v>
      </c>
      <c r="H11" t="s">
        <v>534</v>
      </c>
      <c r="I11" t="s">
        <v>47</v>
      </c>
      <c r="J11" t="s">
        <v>44</v>
      </c>
      <c r="K11">
        <v>2</v>
      </c>
      <c r="L11" s="8">
        <v>1.84</v>
      </c>
      <c r="M11" s="8">
        <v>2.331</v>
      </c>
      <c r="N11" s="8">
        <v>2</v>
      </c>
      <c r="O11" s="8">
        <v>5</v>
      </c>
      <c r="P11" s="8" t="s">
        <v>664</v>
      </c>
      <c r="Q11" s="8" t="s">
        <v>536</v>
      </c>
      <c r="R11" t="str">
        <f t="shared" si="0"/>
        <v>instruction/notask.png</v>
      </c>
    </row>
    <row r="12" spans="1:18" x14ac:dyDescent="0.2">
      <c r="A12">
        <v>22</v>
      </c>
      <c r="B12" t="s">
        <v>359</v>
      </c>
      <c r="C12" t="s">
        <v>363</v>
      </c>
      <c r="D12" t="s">
        <v>364</v>
      </c>
      <c r="E12" t="s">
        <v>643</v>
      </c>
      <c r="F12" t="s">
        <v>665</v>
      </c>
      <c r="G12" t="s">
        <v>538</v>
      </c>
      <c r="H12" t="s">
        <v>539</v>
      </c>
      <c r="I12" t="s">
        <v>65</v>
      </c>
      <c r="J12" t="s">
        <v>66</v>
      </c>
      <c r="K12">
        <v>1</v>
      </c>
      <c r="L12" s="8">
        <v>1.718</v>
      </c>
      <c r="M12" s="8">
        <v>2.2839999999999998</v>
      </c>
      <c r="N12" s="8">
        <v>3</v>
      </c>
      <c r="O12" s="8">
        <v>4</v>
      </c>
      <c r="P12" s="8" t="s">
        <v>666</v>
      </c>
      <c r="Q12" s="8" t="s">
        <v>541</v>
      </c>
      <c r="R12" t="str">
        <f t="shared" si="0"/>
        <v>instruction/notask.png</v>
      </c>
    </row>
    <row r="13" spans="1:18" x14ac:dyDescent="0.2">
      <c r="A13">
        <v>24</v>
      </c>
      <c r="B13" t="s">
        <v>359</v>
      </c>
      <c r="C13" t="s">
        <v>362</v>
      </c>
      <c r="D13" t="s">
        <v>364</v>
      </c>
      <c r="E13" t="s">
        <v>644</v>
      </c>
      <c r="F13" t="s">
        <v>667</v>
      </c>
      <c r="G13" t="s">
        <v>543</v>
      </c>
      <c r="H13" t="s">
        <v>544</v>
      </c>
      <c r="I13" t="s">
        <v>71</v>
      </c>
      <c r="J13" t="s">
        <v>73</v>
      </c>
      <c r="K13">
        <v>1</v>
      </c>
      <c r="L13" s="8">
        <v>1.5009999999999999</v>
      </c>
      <c r="M13" s="8">
        <v>2.3540000000000001</v>
      </c>
      <c r="N13" s="8">
        <v>4</v>
      </c>
      <c r="O13" s="8">
        <v>3</v>
      </c>
      <c r="P13" s="8" t="s">
        <v>668</v>
      </c>
      <c r="Q13" s="8" t="s">
        <v>546</v>
      </c>
      <c r="R13" t="str">
        <f t="shared" si="0"/>
        <v>instruction/articulation.png</v>
      </c>
    </row>
    <row r="14" spans="1:18" x14ac:dyDescent="0.2">
      <c r="A14">
        <v>110</v>
      </c>
      <c r="B14" t="s">
        <v>388</v>
      </c>
      <c r="C14" t="s">
        <v>363</v>
      </c>
      <c r="D14" t="s">
        <v>388</v>
      </c>
      <c r="E14" t="s">
        <v>730</v>
      </c>
      <c r="F14" t="s">
        <v>161</v>
      </c>
      <c r="G14" t="s">
        <v>245</v>
      </c>
      <c r="H14" t="s">
        <v>162</v>
      </c>
      <c r="I14" t="s">
        <v>164</v>
      </c>
      <c r="J14" t="s">
        <v>246</v>
      </c>
      <c r="K14">
        <v>2</v>
      </c>
      <c r="L14" s="8">
        <v>1.8080000000000001</v>
      </c>
      <c r="M14" s="8">
        <v>2.02</v>
      </c>
      <c r="N14" s="8">
        <v>2</v>
      </c>
      <c r="O14" s="8">
        <v>6</v>
      </c>
      <c r="P14" s="8" t="s">
        <v>670</v>
      </c>
      <c r="Q14" s="8" t="s">
        <v>671</v>
      </c>
      <c r="R14" t="str">
        <f t="shared" si="0"/>
        <v>instruction/notask.png</v>
      </c>
    </row>
    <row r="15" spans="1:18" x14ac:dyDescent="0.2">
      <c r="A15">
        <v>111</v>
      </c>
      <c r="B15" t="s">
        <v>388</v>
      </c>
      <c r="C15" t="s">
        <v>362</v>
      </c>
      <c r="D15" t="s">
        <v>388</v>
      </c>
      <c r="E15" t="s">
        <v>731</v>
      </c>
      <c r="F15" t="s">
        <v>170</v>
      </c>
      <c r="G15" t="s">
        <v>171</v>
      </c>
      <c r="H15" t="s">
        <v>173</v>
      </c>
      <c r="I15" t="s">
        <v>172</v>
      </c>
      <c r="J15" t="s">
        <v>174</v>
      </c>
      <c r="K15">
        <v>1</v>
      </c>
      <c r="L15" s="8">
        <v>1.9850000000000001</v>
      </c>
      <c r="M15" s="8">
        <v>1.9159999999999999</v>
      </c>
      <c r="N15" s="8">
        <v>3</v>
      </c>
      <c r="O15" s="8">
        <v>5</v>
      </c>
      <c r="P15" s="8" t="s">
        <v>672</v>
      </c>
      <c r="Q15" s="8" t="s">
        <v>673</v>
      </c>
      <c r="R15" t="str">
        <f t="shared" si="0"/>
        <v>instruction/articulation.png</v>
      </c>
    </row>
    <row r="16" spans="1:18" x14ac:dyDescent="0.2">
      <c r="A16">
        <v>112</v>
      </c>
      <c r="B16" t="s">
        <v>388</v>
      </c>
      <c r="C16" t="s">
        <v>363</v>
      </c>
      <c r="D16" t="s">
        <v>388</v>
      </c>
      <c r="E16" t="s">
        <v>732</v>
      </c>
      <c r="F16" t="s">
        <v>176</v>
      </c>
      <c r="G16" t="s">
        <v>177</v>
      </c>
      <c r="H16" t="s">
        <v>181</v>
      </c>
      <c r="I16" t="s">
        <v>182</v>
      </c>
      <c r="J16" t="s">
        <v>183</v>
      </c>
      <c r="K16">
        <v>2</v>
      </c>
      <c r="L16" s="8">
        <v>2.456</v>
      </c>
      <c r="M16" s="8">
        <v>1.8140000000000001</v>
      </c>
      <c r="N16" s="8">
        <v>4</v>
      </c>
      <c r="O16" s="8">
        <v>4</v>
      </c>
      <c r="P16" s="8" t="s">
        <v>674</v>
      </c>
      <c r="Q16" s="8" t="s">
        <v>675</v>
      </c>
      <c r="R16" t="str">
        <f t="shared" si="0"/>
        <v>instruction/notask.png</v>
      </c>
    </row>
    <row r="17" spans="1:18" x14ac:dyDescent="0.2">
      <c r="A17">
        <v>119</v>
      </c>
      <c r="B17" t="s">
        <v>388</v>
      </c>
      <c r="C17" t="s">
        <v>362</v>
      </c>
      <c r="D17" t="s">
        <v>388</v>
      </c>
      <c r="E17" t="s">
        <v>733</v>
      </c>
      <c r="F17" t="s">
        <v>239</v>
      </c>
      <c r="G17" t="s">
        <v>237</v>
      </c>
      <c r="H17" t="s">
        <v>669</v>
      </c>
      <c r="I17" t="s">
        <v>238</v>
      </c>
      <c r="J17" t="s">
        <v>194</v>
      </c>
      <c r="K17">
        <v>1</v>
      </c>
      <c r="L17" s="8">
        <v>2.145</v>
      </c>
      <c r="M17" s="8">
        <v>1.46</v>
      </c>
      <c r="N17" s="8">
        <v>2</v>
      </c>
      <c r="O17" s="8">
        <v>3</v>
      </c>
      <c r="P17" s="8" t="s">
        <v>676</v>
      </c>
      <c r="Q17" s="8" t="s">
        <v>677</v>
      </c>
      <c r="R17" t="str">
        <f t="shared" si="0"/>
        <v>instruction/articulation.png</v>
      </c>
    </row>
    <row r="18" spans="1:18" x14ac:dyDescent="0.2">
      <c r="A18">
        <v>120</v>
      </c>
      <c r="B18" t="s">
        <v>388</v>
      </c>
      <c r="C18" t="s">
        <v>363</v>
      </c>
      <c r="D18" t="s">
        <v>388</v>
      </c>
      <c r="E18" t="s">
        <v>734</v>
      </c>
      <c r="F18" t="s">
        <v>305</v>
      </c>
      <c r="G18" t="s">
        <v>306</v>
      </c>
      <c r="H18" t="s">
        <v>210</v>
      </c>
      <c r="I18" t="s">
        <v>211</v>
      </c>
      <c r="J18" t="s">
        <v>212</v>
      </c>
      <c r="K18">
        <v>2</v>
      </c>
      <c r="L18" s="8">
        <v>1.7729999999999999</v>
      </c>
      <c r="M18" s="8">
        <v>1.974</v>
      </c>
      <c r="N18" s="8">
        <v>3</v>
      </c>
      <c r="O18" s="8">
        <v>6</v>
      </c>
      <c r="P18" s="8" t="s">
        <v>678</v>
      </c>
      <c r="Q18" s="8" t="s">
        <v>679</v>
      </c>
      <c r="R18" t="str">
        <f t="shared" si="0"/>
        <v>instruction/notask.png</v>
      </c>
    </row>
    <row r="19" spans="1:18" x14ac:dyDescent="0.2">
      <c r="A19">
        <v>121</v>
      </c>
      <c r="B19" t="s">
        <v>388</v>
      </c>
      <c r="C19" t="s">
        <v>362</v>
      </c>
      <c r="D19" t="s">
        <v>388</v>
      </c>
      <c r="E19" t="s">
        <v>735</v>
      </c>
      <c r="F19" t="s">
        <v>240</v>
      </c>
      <c r="G19" t="s">
        <v>223</v>
      </c>
      <c r="H19" t="s">
        <v>241</v>
      </c>
      <c r="I19" t="s">
        <v>199</v>
      </c>
      <c r="J19" t="s">
        <v>153</v>
      </c>
      <c r="K19">
        <v>1</v>
      </c>
      <c r="L19" s="8">
        <v>2.0089999999999999</v>
      </c>
      <c r="M19" s="8">
        <v>2.0230000000000001</v>
      </c>
      <c r="N19" s="8">
        <v>4</v>
      </c>
      <c r="O19" s="8">
        <v>5</v>
      </c>
      <c r="P19" s="8" t="s">
        <v>680</v>
      </c>
      <c r="Q19" s="8" t="s">
        <v>681</v>
      </c>
      <c r="R19" t="str">
        <f t="shared" si="0"/>
        <v>instruction/articulation.png</v>
      </c>
    </row>
    <row r="20" spans="1:18" x14ac:dyDescent="0.2">
      <c r="A20">
        <v>134</v>
      </c>
      <c r="B20" t="s">
        <v>388</v>
      </c>
      <c r="C20" t="s">
        <v>363</v>
      </c>
      <c r="D20" t="s">
        <v>388</v>
      </c>
      <c r="E20" t="s">
        <v>736</v>
      </c>
      <c r="F20" t="s">
        <v>300</v>
      </c>
      <c r="G20" t="s">
        <v>301</v>
      </c>
      <c r="H20" t="s">
        <v>302</v>
      </c>
      <c r="I20" t="s">
        <v>304</v>
      </c>
      <c r="J20" t="s">
        <v>303</v>
      </c>
      <c r="K20">
        <v>2</v>
      </c>
      <c r="L20" s="8">
        <v>2.0289999999999999</v>
      </c>
      <c r="M20" s="8">
        <v>2.11</v>
      </c>
      <c r="N20" s="8">
        <v>2</v>
      </c>
      <c r="O20" s="8">
        <v>4</v>
      </c>
      <c r="P20" s="8" t="s">
        <v>682</v>
      </c>
      <c r="Q20" s="8" t="s">
        <v>683</v>
      </c>
      <c r="R20" t="str">
        <f t="shared" si="0"/>
        <v>instruction/notask.png</v>
      </c>
    </row>
    <row r="21" spans="1:18" x14ac:dyDescent="0.2">
      <c r="A21">
        <v>135</v>
      </c>
      <c r="B21" t="s">
        <v>388</v>
      </c>
      <c r="C21" t="s">
        <v>362</v>
      </c>
      <c r="D21" t="s">
        <v>388</v>
      </c>
      <c r="E21" t="s">
        <v>737</v>
      </c>
      <c r="F21" t="s">
        <v>280</v>
      </c>
      <c r="G21" t="s">
        <v>281</v>
      </c>
      <c r="H21" t="s">
        <v>279</v>
      </c>
      <c r="I21" t="s">
        <v>284</v>
      </c>
      <c r="J21" t="s">
        <v>283</v>
      </c>
      <c r="K21">
        <v>1</v>
      </c>
      <c r="L21" s="8">
        <v>2.2090000000000001</v>
      </c>
      <c r="M21" s="8">
        <v>1.91</v>
      </c>
      <c r="N21" s="8">
        <v>3</v>
      </c>
      <c r="O21" s="8">
        <v>3</v>
      </c>
      <c r="P21" s="8" t="s">
        <v>684</v>
      </c>
      <c r="Q21" s="8" t="s">
        <v>685</v>
      </c>
      <c r="R21" t="str">
        <f t="shared" si="0"/>
        <v>instruction/articulation.png</v>
      </c>
    </row>
    <row r="22" spans="1:18" x14ac:dyDescent="0.2">
      <c r="A22">
        <v>136</v>
      </c>
      <c r="B22" t="s">
        <v>388</v>
      </c>
      <c r="C22" t="s">
        <v>363</v>
      </c>
      <c r="D22" t="s">
        <v>388</v>
      </c>
      <c r="E22" t="s">
        <v>738</v>
      </c>
      <c r="F22" t="s">
        <v>292</v>
      </c>
      <c r="G22" t="s">
        <v>293</v>
      </c>
      <c r="H22" t="s">
        <v>287</v>
      </c>
      <c r="I22" t="s">
        <v>294</v>
      </c>
      <c r="J22" t="s">
        <v>295</v>
      </c>
      <c r="K22">
        <v>2</v>
      </c>
      <c r="L22" s="8">
        <v>2.194</v>
      </c>
      <c r="M22" s="8">
        <v>1.7589999999999999</v>
      </c>
      <c r="N22" s="8">
        <v>4</v>
      </c>
      <c r="O22" s="8">
        <v>6</v>
      </c>
      <c r="P22" s="8" t="s">
        <v>686</v>
      </c>
      <c r="Q22" s="8" t="s">
        <v>687</v>
      </c>
      <c r="R22" t="str">
        <f t="shared" si="0"/>
        <v>instruction/notask.png</v>
      </c>
    </row>
    <row r="23" spans="1:18" x14ac:dyDescent="0.2">
      <c r="A23">
        <v>143</v>
      </c>
      <c r="B23" t="s">
        <v>388</v>
      </c>
      <c r="C23" t="s">
        <v>362</v>
      </c>
      <c r="D23" t="s">
        <v>388</v>
      </c>
      <c r="E23" t="s">
        <v>739</v>
      </c>
      <c r="F23" t="s">
        <v>314</v>
      </c>
      <c r="G23" t="s">
        <v>310</v>
      </c>
      <c r="H23" t="s">
        <v>315</v>
      </c>
      <c r="I23" t="s">
        <v>313</v>
      </c>
      <c r="J23" t="s">
        <v>312</v>
      </c>
      <c r="K23">
        <v>1</v>
      </c>
      <c r="L23" s="8">
        <v>2.0840000000000001</v>
      </c>
      <c r="M23" s="8">
        <v>1.5149999999999999</v>
      </c>
      <c r="N23" s="8">
        <v>2</v>
      </c>
      <c r="O23" s="8">
        <v>5</v>
      </c>
      <c r="P23" s="8" t="s">
        <v>688</v>
      </c>
      <c r="Q23" s="8" t="s">
        <v>689</v>
      </c>
      <c r="R23" t="str">
        <f t="shared" si="0"/>
        <v>instruction/articulation.png</v>
      </c>
    </row>
    <row r="24" spans="1:18" x14ac:dyDescent="0.2">
      <c r="A24">
        <v>144</v>
      </c>
      <c r="B24" t="s">
        <v>388</v>
      </c>
      <c r="C24" t="s">
        <v>363</v>
      </c>
      <c r="D24" t="s">
        <v>388</v>
      </c>
      <c r="E24" t="s">
        <v>740</v>
      </c>
      <c r="F24" t="s">
        <v>320</v>
      </c>
      <c r="G24" t="s">
        <v>321</v>
      </c>
      <c r="H24" t="s">
        <v>323</v>
      </c>
      <c r="I24" t="s">
        <v>318</v>
      </c>
      <c r="J24" t="s">
        <v>324</v>
      </c>
      <c r="K24">
        <v>2</v>
      </c>
      <c r="L24" s="8">
        <v>1.98</v>
      </c>
      <c r="M24" s="8">
        <v>1.8049999999999999</v>
      </c>
      <c r="N24" s="8">
        <v>3</v>
      </c>
      <c r="O24" s="8">
        <v>4</v>
      </c>
      <c r="P24" s="8" t="s">
        <v>690</v>
      </c>
      <c r="Q24" s="8" t="s">
        <v>691</v>
      </c>
      <c r="R24" t="str">
        <f t="shared" si="0"/>
        <v>instruction/notask.png</v>
      </c>
    </row>
    <row r="25" spans="1:18" x14ac:dyDescent="0.2">
      <c r="A25">
        <v>145</v>
      </c>
      <c r="B25" t="s">
        <v>388</v>
      </c>
      <c r="C25" t="s">
        <v>362</v>
      </c>
      <c r="D25" t="s">
        <v>388</v>
      </c>
      <c r="E25" t="s">
        <v>741</v>
      </c>
      <c r="F25" t="s">
        <v>425</v>
      </c>
      <c r="G25" t="s">
        <v>355</v>
      </c>
      <c r="H25" t="s">
        <v>356</v>
      </c>
      <c r="I25" t="s">
        <v>353</v>
      </c>
      <c r="J25" t="s">
        <v>352</v>
      </c>
      <c r="K25">
        <v>1</v>
      </c>
      <c r="L25" s="8">
        <v>1.9530000000000001</v>
      </c>
      <c r="M25" s="8">
        <v>2.11</v>
      </c>
      <c r="N25" s="8">
        <v>4</v>
      </c>
      <c r="O25" s="8">
        <v>3</v>
      </c>
      <c r="P25" s="8" t="s">
        <v>692</v>
      </c>
      <c r="Q25" s="8" t="s">
        <v>693</v>
      </c>
      <c r="R25" t="str">
        <f t="shared" si="0"/>
        <v>instruction/articulation.png</v>
      </c>
    </row>
  </sheetData>
  <phoneticPr fontId="4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3591-418E-4A82-9523-34EB4F7FC0D1}">
  <dimension ref="A1:R25"/>
  <sheetViews>
    <sheetView topLeftCell="A15" zoomScale="72" zoomScaleNormal="92" workbookViewId="0">
      <pane xSplit="4" topLeftCell="E1" activePane="topRight" state="frozen"/>
      <selection pane="topRight" activeCell="D30" sqref="D30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4" width="13.1640625" style="8" customWidth="1"/>
    <col min="15" max="15" width="15.6640625" style="8" customWidth="1"/>
    <col min="16" max="17" width="25.164062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1</v>
      </c>
      <c r="B2" t="s">
        <v>366</v>
      </c>
      <c r="C2" t="s">
        <v>363</v>
      </c>
      <c r="D2" t="s">
        <v>364</v>
      </c>
      <c r="E2" t="s">
        <v>571</v>
      </c>
      <c r="F2" t="s">
        <v>583</v>
      </c>
      <c r="G2" t="s">
        <v>390</v>
      </c>
      <c r="H2" t="s">
        <v>391</v>
      </c>
      <c r="I2" t="s">
        <v>2</v>
      </c>
      <c r="J2" t="s">
        <v>0</v>
      </c>
      <c r="K2">
        <v>1</v>
      </c>
      <c r="L2" s="8">
        <v>1.724</v>
      </c>
      <c r="M2" s="8">
        <v>2.3250000000000002</v>
      </c>
      <c r="N2" s="8">
        <v>2</v>
      </c>
      <c r="O2" s="8">
        <v>6</v>
      </c>
      <c r="P2" s="8" t="s">
        <v>584</v>
      </c>
      <c r="Q2" s="8" t="s">
        <v>463</v>
      </c>
      <c r="R2" t="str">
        <f>IF(C2 = "articulation", "instruction/articulation.png", "instruction/notask.png")</f>
        <v>instruction/notask.png</v>
      </c>
    </row>
    <row r="3" spans="1:18" x14ac:dyDescent="0.2">
      <c r="A3">
        <v>4</v>
      </c>
      <c r="B3" t="s">
        <v>366</v>
      </c>
      <c r="C3" t="s">
        <v>363</v>
      </c>
      <c r="D3" t="s">
        <v>360</v>
      </c>
      <c r="E3" t="s">
        <v>572</v>
      </c>
      <c r="F3" t="s">
        <v>585</v>
      </c>
      <c r="G3" t="s">
        <v>393</v>
      </c>
      <c r="H3" t="s">
        <v>394</v>
      </c>
      <c r="I3" t="s">
        <v>53</v>
      </c>
      <c r="J3" t="s">
        <v>10</v>
      </c>
      <c r="K3">
        <v>2</v>
      </c>
      <c r="L3" s="8">
        <v>1.5089999999999999</v>
      </c>
      <c r="M3" s="8">
        <v>2.601</v>
      </c>
      <c r="N3" s="8">
        <v>3</v>
      </c>
      <c r="O3" s="8">
        <v>5</v>
      </c>
      <c r="P3" s="8" t="s">
        <v>586</v>
      </c>
      <c r="Q3" s="8" t="s">
        <v>464</v>
      </c>
      <c r="R3" t="str">
        <f t="shared" ref="R3:R25" si="0">IF(C3 = "articulation", "instruction/articulation.png", "instruction/notask.png")</f>
        <v>instruction/notask.png</v>
      </c>
    </row>
    <row r="4" spans="1:18" x14ac:dyDescent="0.2">
      <c r="A4">
        <v>6</v>
      </c>
      <c r="B4" t="s">
        <v>359</v>
      </c>
      <c r="C4" t="s">
        <v>363</v>
      </c>
      <c r="D4" t="s">
        <v>364</v>
      </c>
      <c r="E4" t="s">
        <v>573</v>
      </c>
      <c r="F4" t="s">
        <v>587</v>
      </c>
      <c r="G4" t="s">
        <v>396</v>
      </c>
      <c r="H4" t="s">
        <v>397</v>
      </c>
      <c r="I4" t="s">
        <v>15</v>
      </c>
      <c r="J4" t="s">
        <v>16</v>
      </c>
      <c r="K4">
        <v>1</v>
      </c>
      <c r="L4" s="8">
        <v>1.8979999999999999</v>
      </c>
      <c r="M4" s="8">
        <v>2.2989999999999999</v>
      </c>
      <c r="N4" s="8">
        <v>4</v>
      </c>
      <c r="O4" s="8">
        <v>4</v>
      </c>
      <c r="P4" s="8" t="s">
        <v>588</v>
      </c>
      <c r="Q4" s="8" t="s">
        <v>465</v>
      </c>
      <c r="R4" t="str">
        <f t="shared" si="0"/>
        <v>instruction/notask.png</v>
      </c>
    </row>
    <row r="5" spans="1:18" x14ac:dyDescent="0.2">
      <c r="A5">
        <v>8</v>
      </c>
      <c r="B5" t="s">
        <v>359</v>
      </c>
      <c r="C5" t="s">
        <v>362</v>
      </c>
      <c r="D5" t="s">
        <v>364</v>
      </c>
      <c r="E5" t="s">
        <v>574</v>
      </c>
      <c r="F5" t="s">
        <v>589</v>
      </c>
      <c r="G5" t="s">
        <v>399</v>
      </c>
      <c r="H5" t="s">
        <v>400</v>
      </c>
      <c r="I5" t="s">
        <v>23</v>
      </c>
      <c r="J5" t="s">
        <v>18</v>
      </c>
      <c r="K5">
        <v>1</v>
      </c>
      <c r="L5" s="8">
        <v>1.843</v>
      </c>
      <c r="M5" s="8">
        <v>2.2410000000000001</v>
      </c>
      <c r="N5" s="8">
        <v>2</v>
      </c>
      <c r="O5" s="8">
        <v>3</v>
      </c>
      <c r="P5" s="8" t="s">
        <v>590</v>
      </c>
      <c r="Q5" s="8" t="s">
        <v>466</v>
      </c>
      <c r="R5" t="str">
        <f t="shared" si="0"/>
        <v>instruction/articulation.png</v>
      </c>
    </row>
    <row r="6" spans="1:18" x14ac:dyDescent="0.2">
      <c r="A6">
        <v>10</v>
      </c>
      <c r="B6" t="s">
        <v>366</v>
      </c>
      <c r="C6" t="s">
        <v>362</v>
      </c>
      <c r="D6" t="s">
        <v>360</v>
      </c>
      <c r="E6" t="s">
        <v>575</v>
      </c>
      <c r="F6" t="s">
        <v>591</v>
      </c>
      <c r="G6" t="s">
        <v>402</v>
      </c>
      <c r="H6" t="s">
        <v>403</v>
      </c>
      <c r="I6" t="s">
        <v>26</v>
      </c>
      <c r="J6" t="s">
        <v>24</v>
      </c>
      <c r="K6">
        <v>2</v>
      </c>
      <c r="L6" s="8">
        <v>1.788</v>
      </c>
      <c r="M6" s="8">
        <v>2.3479999999999999</v>
      </c>
      <c r="N6" s="8">
        <v>3</v>
      </c>
      <c r="O6" s="8">
        <v>6</v>
      </c>
      <c r="P6" s="8" t="s">
        <v>592</v>
      </c>
      <c r="Q6" s="8" t="s">
        <v>467</v>
      </c>
      <c r="R6" t="str">
        <f t="shared" si="0"/>
        <v>instruction/articulation.png</v>
      </c>
    </row>
    <row r="7" spans="1:18" x14ac:dyDescent="0.2">
      <c r="A7">
        <v>11</v>
      </c>
      <c r="B7" t="s">
        <v>366</v>
      </c>
      <c r="C7" t="s">
        <v>362</v>
      </c>
      <c r="D7" t="s">
        <v>364</v>
      </c>
      <c r="E7" t="s">
        <v>576</v>
      </c>
      <c r="F7" t="s">
        <v>593</v>
      </c>
      <c r="G7" t="s">
        <v>405</v>
      </c>
      <c r="H7" t="s">
        <v>406</v>
      </c>
      <c r="I7" t="s">
        <v>28</v>
      </c>
      <c r="J7" t="s">
        <v>27</v>
      </c>
      <c r="K7">
        <v>1</v>
      </c>
      <c r="L7" s="8">
        <v>1.4950000000000001</v>
      </c>
      <c r="M7" s="8">
        <v>2.3450000000000002</v>
      </c>
      <c r="N7" s="8">
        <v>4</v>
      </c>
      <c r="O7" s="8">
        <v>5</v>
      </c>
      <c r="P7" s="8" t="s">
        <v>594</v>
      </c>
      <c r="Q7" s="8" t="s">
        <v>468</v>
      </c>
      <c r="R7" t="str">
        <f t="shared" si="0"/>
        <v>instruction/articulation.png</v>
      </c>
    </row>
    <row r="8" spans="1:18" x14ac:dyDescent="0.2">
      <c r="A8">
        <v>13</v>
      </c>
      <c r="B8" t="s">
        <v>359</v>
      </c>
      <c r="C8" t="s">
        <v>362</v>
      </c>
      <c r="D8" t="s">
        <v>360</v>
      </c>
      <c r="E8" t="s">
        <v>577</v>
      </c>
      <c r="F8" t="s">
        <v>595</v>
      </c>
      <c r="G8" t="s">
        <v>408</v>
      </c>
      <c r="H8" t="s">
        <v>409</v>
      </c>
      <c r="I8" t="s">
        <v>36</v>
      </c>
      <c r="J8" t="s">
        <v>35</v>
      </c>
      <c r="K8">
        <v>2</v>
      </c>
      <c r="L8" s="8">
        <v>1.7589999999999999</v>
      </c>
      <c r="M8" s="8">
        <v>1.9710000000000001</v>
      </c>
      <c r="N8" s="8">
        <v>2</v>
      </c>
      <c r="O8" s="8">
        <v>4</v>
      </c>
      <c r="P8" s="8" t="s">
        <v>596</v>
      </c>
      <c r="Q8" s="8" t="s">
        <v>469</v>
      </c>
      <c r="R8" t="str">
        <f t="shared" si="0"/>
        <v>instruction/articulation.png</v>
      </c>
    </row>
    <row r="9" spans="1:18" x14ac:dyDescent="0.2">
      <c r="A9">
        <v>15</v>
      </c>
      <c r="B9" t="s">
        <v>359</v>
      </c>
      <c r="C9" t="s">
        <v>363</v>
      </c>
      <c r="D9" t="s">
        <v>360</v>
      </c>
      <c r="E9" t="s">
        <v>578</v>
      </c>
      <c r="F9" t="s">
        <v>597</v>
      </c>
      <c r="G9" t="s">
        <v>411</v>
      </c>
      <c r="H9" t="s">
        <v>412</v>
      </c>
      <c r="I9" t="s">
        <v>58</v>
      </c>
      <c r="J9" t="s">
        <v>57</v>
      </c>
      <c r="K9">
        <v>2</v>
      </c>
      <c r="L9" s="8">
        <v>1.44</v>
      </c>
      <c r="M9" s="8">
        <v>2.56</v>
      </c>
      <c r="N9" s="8">
        <v>3</v>
      </c>
      <c r="O9" s="8">
        <v>3</v>
      </c>
      <c r="P9" s="8" t="s">
        <v>598</v>
      </c>
      <c r="Q9" s="8" t="s">
        <v>470</v>
      </c>
      <c r="R9" t="str">
        <f t="shared" si="0"/>
        <v>instruction/notask.png</v>
      </c>
    </row>
    <row r="10" spans="1:18" x14ac:dyDescent="0.2">
      <c r="A10">
        <v>17</v>
      </c>
      <c r="B10" t="s">
        <v>366</v>
      </c>
      <c r="C10" t="s">
        <v>363</v>
      </c>
      <c r="D10" t="s">
        <v>364</v>
      </c>
      <c r="E10" t="s">
        <v>579</v>
      </c>
      <c r="F10" t="s">
        <v>599</v>
      </c>
      <c r="G10" t="s">
        <v>414</v>
      </c>
      <c r="H10" t="s">
        <v>415</v>
      </c>
      <c r="I10" t="s">
        <v>63</v>
      </c>
      <c r="J10" t="s">
        <v>62</v>
      </c>
      <c r="K10">
        <v>1</v>
      </c>
      <c r="L10" s="8">
        <v>1.46</v>
      </c>
      <c r="M10" s="8">
        <v>2.11</v>
      </c>
      <c r="N10" s="8">
        <v>4</v>
      </c>
      <c r="O10" s="8">
        <v>6</v>
      </c>
      <c r="P10" s="8" t="s">
        <v>600</v>
      </c>
      <c r="Q10" s="8" t="s">
        <v>471</v>
      </c>
      <c r="R10" t="str">
        <f t="shared" si="0"/>
        <v>instruction/notask.png</v>
      </c>
    </row>
    <row r="11" spans="1:18" x14ac:dyDescent="0.2">
      <c r="A11">
        <v>19</v>
      </c>
      <c r="B11" t="s">
        <v>366</v>
      </c>
      <c r="C11" t="s">
        <v>362</v>
      </c>
      <c r="D11" t="s">
        <v>364</v>
      </c>
      <c r="E11" t="s">
        <v>580</v>
      </c>
      <c r="F11" t="s">
        <v>601</v>
      </c>
      <c r="G11" t="s">
        <v>417</v>
      </c>
      <c r="H11" t="s">
        <v>418</v>
      </c>
      <c r="I11" t="s">
        <v>41</v>
      </c>
      <c r="J11" t="s">
        <v>40</v>
      </c>
      <c r="K11">
        <v>1</v>
      </c>
      <c r="L11" s="8">
        <v>1.91</v>
      </c>
      <c r="M11" s="8">
        <v>2.339</v>
      </c>
      <c r="N11" s="8">
        <v>2</v>
      </c>
      <c r="O11" s="8">
        <v>5</v>
      </c>
      <c r="P11" s="8" t="s">
        <v>602</v>
      </c>
      <c r="Q11" s="8" t="s">
        <v>472</v>
      </c>
      <c r="R11" t="str">
        <f t="shared" si="0"/>
        <v>instruction/articulation.png</v>
      </c>
    </row>
    <row r="12" spans="1:18" x14ac:dyDescent="0.2">
      <c r="A12">
        <v>21</v>
      </c>
      <c r="B12" t="s">
        <v>359</v>
      </c>
      <c r="C12" t="s">
        <v>362</v>
      </c>
      <c r="D12" t="s">
        <v>360</v>
      </c>
      <c r="E12" t="s">
        <v>581</v>
      </c>
      <c r="F12" t="s">
        <v>603</v>
      </c>
      <c r="G12" t="s">
        <v>420</v>
      </c>
      <c r="H12" t="s">
        <v>421</v>
      </c>
      <c r="I12" t="s">
        <v>48</v>
      </c>
      <c r="J12" t="s">
        <v>45</v>
      </c>
      <c r="K12">
        <v>2</v>
      </c>
      <c r="L12" s="8">
        <v>1.8340000000000001</v>
      </c>
      <c r="M12" s="8">
        <v>2.1440000000000001</v>
      </c>
      <c r="N12" s="8">
        <v>3</v>
      </c>
      <c r="O12" s="8">
        <v>4</v>
      </c>
      <c r="P12" s="8" t="s">
        <v>604</v>
      </c>
      <c r="Q12" s="8" t="s">
        <v>473</v>
      </c>
      <c r="R12" t="str">
        <f t="shared" si="0"/>
        <v>instruction/articulation.png</v>
      </c>
    </row>
    <row r="13" spans="1:18" x14ac:dyDescent="0.2">
      <c r="A13">
        <v>23</v>
      </c>
      <c r="B13" t="s">
        <v>359</v>
      </c>
      <c r="C13" t="s">
        <v>363</v>
      </c>
      <c r="D13" t="s">
        <v>360</v>
      </c>
      <c r="E13" t="s">
        <v>582</v>
      </c>
      <c r="F13" t="s">
        <v>605</v>
      </c>
      <c r="G13" t="s">
        <v>423</v>
      </c>
      <c r="H13" t="s">
        <v>424</v>
      </c>
      <c r="I13" t="s">
        <v>69</v>
      </c>
      <c r="J13" t="s">
        <v>70</v>
      </c>
      <c r="K13">
        <v>2</v>
      </c>
      <c r="L13" s="8">
        <v>1.7529999999999999</v>
      </c>
      <c r="M13" s="8">
        <v>2.2000000000000002</v>
      </c>
      <c r="N13" s="8">
        <v>4</v>
      </c>
      <c r="O13" s="8">
        <v>3</v>
      </c>
      <c r="P13" s="8" t="s">
        <v>606</v>
      </c>
      <c r="Q13" s="8" t="s">
        <v>474</v>
      </c>
      <c r="R13" t="str">
        <f t="shared" si="0"/>
        <v>instruction/notask.png</v>
      </c>
    </row>
    <row r="14" spans="1:18" x14ac:dyDescent="0.2">
      <c r="A14">
        <v>107</v>
      </c>
      <c r="B14" t="s">
        <v>388</v>
      </c>
      <c r="C14" t="s">
        <v>363</v>
      </c>
      <c r="D14" t="s">
        <v>388</v>
      </c>
      <c r="E14" t="s">
        <v>718</v>
      </c>
      <c r="F14" t="s">
        <v>220</v>
      </c>
      <c r="G14" t="s">
        <v>171</v>
      </c>
      <c r="H14" t="s">
        <v>242</v>
      </c>
      <c r="I14" t="s">
        <v>205</v>
      </c>
      <c r="J14" t="s">
        <v>206</v>
      </c>
      <c r="K14">
        <v>1</v>
      </c>
      <c r="L14" s="8">
        <v>1.736</v>
      </c>
      <c r="M14" s="8">
        <v>1.9159999999999999</v>
      </c>
      <c r="N14" s="8">
        <v>2</v>
      </c>
      <c r="O14" s="8">
        <v>6</v>
      </c>
      <c r="P14" s="8" t="s">
        <v>607</v>
      </c>
      <c r="Q14" s="8" t="s">
        <v>608</v>
      </c>
      <c r="R14" t="str">
        <f t="shared" si="0"/>
        <v>instruction/notask.png</v>
      </c>
    </row>
    <row r="15" spans="1:18" x14ac:dyDescent="0.2">
      <c r="A15">
        <v>108</v>
      </c>
      <c r="B15" t="s">
        <v>388</v>
      </c>
      <c r="C15" t="s">
        <v>362</v>
      </c>
      <c r="D15" t="s">
        <v>388</v>
      </c>
      <c r="E15" t="s">
        <v>719</v>
      </c>
      <c r="F15" t="s">
        <v>175</v>
      </c>
      <c r="G15" t="s">
        <v>247</v>
      </c>
      <c r="H15" t="s">
        <v>248</v>
      </c>
      <c r="I15" t="s">
        <v>208</v>
      </c>
      <c r="J15" t="s">
        <v>209</v>
      </c>
      <c r="K15">
        <v>2</v>
      </c>
      <c r="L15" s="8">
        <v>2.0289999999999999</v>
      </c>
      <c r="M15" s="8">
        <v>1.6830000000000001</v>
      </c>
      <c r="N15" s="8">
        <v>3</v>
      </c>
      <c r="O15" s="8">
        <v>5</v>
      </c>
      <c r="P15" s="8" t="s">
        <v>609</v>
      </c>
      <c r="Q15" s="8" t="s">
        <v>610</v>
      </c>
      <c r="R15" t="str">
        <f t="shared" si="0"/>
        <v>instruction/articulation.png</v>
      </c>
    </row>
    <row r="16" spans="1:18" x14ac:dyDescent="0.2">
      <c r="A16">
        <v>109</v>
      </c>
      <c r="B16" t="s">
        <v>388</v>
      </c>
      <c r="C16" t="s">
        <v>363</v>
      </c>
      <c r="D16" t="s">
        <v>388</v>
      </c>
      <c r="E16" t="s">
        <v>720</v>
      </c>
      <c r="F16" t="s">
        <v>200</v>
      </c>
      <c r="G16" t="s">
        <v>243</v>
      </c>
      <c r="H16" t="s">
        <v>244</v>
      </c>
      <c r="I16" t="s">
        <v>152</v>
      </c>
      <c r="J16" t="s">
        <v>208</v>
      </c>
      <c r="K16">
        <v>1</v>
      </c>
      <c r="L16" s="8">
        <v>1.718</v>
      </c>
      <c r="M16" s="8">
        <v>1.6830000000000001</v>
      </c>
      <c r="N16" s="8">
        <v>4</v>
      </c>
      <c r="O16" s="8">
        <v>4</v>
      </c>
      <c r="P16" s="8" t="s">
        <v>611</v>
      </c>
      <c r="Q16" s="8" t="s">
        <v>612</v>
      </c>
      <c r="R16" t="str">
        <f t="shared" si="0"/>
        <v>instruction/notask.png</v>
      </c>
    </row>
    <row r="17" spans="1:18" x14ac:dyDescent="0.2">
      <c r="A17">
        <v>122</v>
      </c>
      <c r="B17" t="s">
        <v>388</v>
      </c>
      <c r="C17" t="s">
        <v>362</v>
      </c>
      <c r="D17" t="s">
        <v>388</v>
      </c>
      <c r="E17" t="s">
        <v>721</v>
      </c>
      <c r="F17" t="s">
        <v>227</v>
      </c>
      <c r="G17" t="s">
        <v>307</v>
      </c>
      <c r="H17" t="s">
        <v>228</v>
      </c>
      <c r="I17" t="s">
        <v>229</v>
      </c>
      <c r="J17" t="s">
        <v>230</v>
      </c>
      <c r="K17">
        <v>2</v>
      </c>
      <c r="L17" s="8">
        <v>1.625</v>
      </c>
      <c r="M17" s="8">
        <v>1.89</v>
      </c>
      <c r="N17" s="8">
        <v>2</v>
      </c>
      <c r="O17" s="8">
        <v>3</v>
      </c>
      <c r="P17" s="8" t="s">
        <v>613</v>
      </c>
      <c r="Q17" s="8" t="s">
        <v>614</v>
      </c>
      <c r="R17" t="str">
        <f t="shared" si="0"/>
        <v>instruction/articulation.png</v>
      </c>
    </row>
    <row r="18" spans="1:18" x14ac:dyDescent="0.2">
      <c r="A18">
        <v>123</v>
      </c>
      <c r="B18" t="s">
        <v>388</v>
      </c>
      <c r="C18" t="s">
        <v>363</v>
      </c>
      <c r="D18" t="s">
        <v>388</v>
      </c>
      <c r="E18" t="s">
        <v>722</v>
      </c>
      <c r="F18" t="s">
        <v>231</v>
      </c>
      <c r="G18" t="s">
        <v>232</v>
      </c>
      <c r="H18" t="s">
        <v>233</v>
      </c>
      <c r="I18" t="s">
        <v>234</v>
      </c>
      <c r="J18" t="s">
        <v>235</v>
      </c>
      <c r="K18">
        <v>1</v>
      </c>
      <c r="L18" s="8">
        <v>2.0139999999999998</v>
      </c>
      <c r="M18" s="8">
        <v>2.0350000000000001</v>
      </c>
      <c r="N18" s="8">
        <v>3</v>
      </c>
      <c r="O18" s="8">
        <v>6</v>
      </c>
      <c r="P18" s="8" t="s">
        <v>615</v>
      </c>
      <c r="Q18" s="8" t="s">
        <v>616</v>
      </c>
      <c r="R18" t="str">
        <f t="shared" si="0"/>
        <v>instruction/notask.png</v>
      </c>
    </row>
    <row r="19" spans="1:18" x14ac:dyDescent="0.2">
      <c r="A19">
        <v>124</v>
      </c>
      <c r="B19" t="s">
        <v>388</v>
      </c>
      <c r="C19" t="s">
        <v>362</v>
      </c>
      <c r="D19" t="s">
        <v>388</v>
      </c>
      <c r="E19" t="s">
        <v>723</v>
      </c>
      <c r="F19" t="s">
        <v>213</v>
      </c>
      <c r="G19" t="s">
        <v>308</v>
      </c>
      <c r="H19" t="s">
        <v>236</v>
      </c>
      <c r="I19" t="s">
        <v>154</v>
      </c>
      <c r="J19" t="s">
        <v>216</v>
      </c>
      <c r="K19">
        <v>2</v>
      </c>
      <c r="L19" s="8">
        <v>1.53</v>
      </c>
      <c r="M19" s="8">
        <v>1.919</v>
      </c>
      <c r="N19" s="8">
        <v>4</v>
      </c>
      <c r="O19" s="8">
        <v>5</v>
      </c>
      <c r="P19" s="8" t="s">
        <v>617</v>
      </c>
      <c r="Q19" s="8" t="s">
        <v>618</v>
      </c>
      <c r="R19" t="str">
        <f t="shared" si="0"/>
        <v>instruction/articulation.png</v>
      </c>
    </row>
    <row r="20" spans="1:18" x14ac:dyDescent="0.2">
      <c r="A20">
        <v>131</v>
      </c>
      <c r="B20" t="s">
        <v>388</v>
      </c>
      <c r="C20" t="s">
        <v>363</v>
      </c>
      <c r="D20" t="s">
        <v>388</v>
      </c>
      <c r="E20" t="s">
        <v>724</v>
      </c>
      <c r="F20" t="s">
        <v>260</v>
      </c>
      <c r="G20" t="s">
        <v>262</v>
      </c>
      <c r="H20" t="s">
        <v>282</v>
      </c>
      <c r="I20" t="s">
        <v>257</v>
      </c>
      <c r="J20" t="s">
        <v>256</v>
      </c>
      <c r="K20">
        <v>1</v>
      </c>
      <c r="L20" s="8">
        <v>1.718</v>
      </c>
      <c r="M20" s="8">
        <v>1.93</v>
      </c>
      <c r="N20" s="8">
        <v>2</v>
      </c>
      <c r="O20" s="8">
        <v>4</v>
      </c>
      <c r="P20" s="8" t="s">
        <v>619</v>
      </c>
      <c r="Q20" s="8" t="s">
        <v>620</v>
      </c>
      <c r="R20" t="str">
        <f t="shared" si="0"/>
        <v>instruction/notask.png</v>
      </c>
    </row>
    <row r="21" spans="1:18" x14ac:dyDescent="0.2">
      <c r="A21">
        <v>132</v>
      </c>
      <c r="B21" t="s">
        <v>388</v>
      </c>
      <c r="C21" t="s">
        <v>362</v>
      </c>
      <c r="D21" t="s">
        <v>388</v>
      </c>
      <c r="E21" t="s">
        <v>725</v>
      </c>
      <c r="F21" t="s">
        <v>271</v>
      </c>
      <c r="G21" t="s">
        <v>263</v>
      </c>
      <c r="H21" t="s">
        <v>264</v>
      </c>
      <c r="I21" t="s">
        <v>155</v>
      </c>
      <c r="J21" t="s">
        <v>156</v>
      </c>
      <c r="K21">
        <v>2</v>
      </c>
      <c r="L21" s="8">
        <v>2.0089999999999999</v>
      </c>
      <c r="M21" s="8">
        <v>2.258</v>
      </c>
      <c r="N21" s="8">
        <v>3</v>
      </c>
      <c r="O21" s="8">
        <v>3</v>
      </c>
      <c r="P21" s="8" t="s">
        <v>621</v>
      </c>
      <c r="Q21" s="8" t="s">
        <v>622</v>
      </c>
      <c r="R21" t="str">
        <f t="shared" si="0"/>
        <v>instruction/articulation.png</v>
      </c>
    </row>
    <row r="22" spans="1:18" x14ac:dyDescent="0.2">
      <c r="A22">
        <v>133</v>
      </c>
      <c r="B22" t="s">
        <v>388</v>
      </c>
      <c r="C22" t="s">
        <v>363</v>
      </c>
      <c r="D22" t="s">
        <v>388</v>
      </c>
      <c r="E22" t="s">
        <v>726</v>
      </c>
      <c r="F22" t="s">
        <v>269</v>
      </c>
      <c r="G22" t="s">
        <v>272</v>
      </c>
      <c r="H22" t="s">
        <v>267</v>
      </c>
      <c r="I22" t="s">
        <v>274</v>
      </c>
      <c r="J22" t="s">
        <v>273</v>
      </c>
      <c r="K22">
        <v>1</v>
      </c>
      <c r="L22" s="8">
        <v>2.1800000000000002</v>
      </c>
      <c r="M22" s="8">
        <v>1.5589999999999999</v>
      </c>
      <c r="N22" s="8">
        <v>4</v>
      </c>
      <c r="O22" s="8">
        <v>6</v>
      </c>
      <c r="P22" s="8" t="s">
        <v>623</v>
      </c>
      <c r="Q22" s="8" t="s">
        <v>624</v>
      </c>
      <c r="R22" t="str">
        <f t="shared" si="0"/>
        <v>instruction/notask.png</v>
      </c>
    </row>
    <row r="23" spans="1:18" x14ac:dyDescent="0.2">
      <c r="A23">
        <v>146</v>
      </c>
      <c r="B23" t="s">
        <v>388</v>
      </c>
      <c r="C23" t="s">
        <v>362</v>
      </c>
      <c r="D23" t="s">
        <v>388</v>
      </c>
      <c r="E23" t="s">
        <v>727</v>
      </c>
      <c r="F23" t="s">
        <v>329</v>
      </c>
      <c r="G23" t="s">
        <v>327</v>
      </c>
      <c r="H23" t="s">
        <v>331</v>
      </c>
      <c r="I23" t="s">
        <v>325</v>
      </c>
      <c r="J23" t="s">
        <v>328</v>
      </c>
      <c r="K23">
        <v>2</v>
      </c>
      <c r="L23" s="8">
        <v>1.988</v>
      </c>
      <c r="M23" s="8">
        <v>1.82</v>
      </c>
      <c r="N23" s="8">
        <v>2</v>
      </c>
      <c r="O23" s="8">
        <v>5</v>
      </c>
      <c r="P23" s="8" t="s">
        <v>625</v>
      </c>
      <c r="Q23" s="8" t="s">
        <v>626</v>
      </c>
      <c r="R23" t="str">
        <f t="shared" si="0"/>
        <v>instruction/articulation.png</v>
      </c>
    </row>
    <row r="24" spans="1:18" x14ac:dyDescent="0.2">
      <c r="A24">
        <v>147</v>
      </c>
      <c r="B24" t="s">
        <v>388</v>
      </c>
      <c r="C24" t="s">
        <v>363</v>
      </c>
      <c r="D24" t="s">
        <v>388</v>
      </c>
      <c r="E24" t="s">
        <v>728</v>
      </c>
      <c r="F24" t="s">
        <v>341</v>
      </c>
      <c r="G24" t="s">
        <v>342</v>
      </c>
      <c r="H24" t="s">
        <v>343</v>
      </c>
      <c r="I24" t="s">
        <v>344</v>
      </c>
      <c r="J24" t="s">
        <v>345</v>
      </c>
      <c r="K24">
        <v>1</v>
      </c>
      <c r="L24" s="8">
        <v>2.0089999999999999</v>
      </c>
      <c r="M24" s="8">
        <v>1.98</v>
      </c>
      <c r="N24" s="8">
        <v>3</v>
      </c>
      <c r="O24" s="8">
        <v>4</v>
      </c>
      <c r="P24" s="8" t="s">
        <v>627</v>
      </c>
      <c r="Q24" s="8" t="s">
        <v>628</v>
      </c>
      <c r="R24" t="str">
        <f t="shared" si="0"/>
        <v>instruction/notask.png</v>
      </c>
    </row>
    <row r="25" spans="1:18" x14ac:dyDescent="0.2">
      <c r="A25">
        <v>148</v>
      </c>
      <c r="B25" t="s">
        <v>388</v>
      </c>
      <c r="C25" t="s">
        <v>362</v>
      </c>
      <c r="D25" t="s">
        <v>388</v>
      </c>
      <c r="E25" t="s">
        <v>729</v>
      </c>
      <c r="F25" t="s">
        <v>346</v>
      </c>
      <c r="G25" t="s">
        <v>347</v>
      </c>
      <c r="H25" t="s">
        <v>348</v>
      </c>
      <c r="I25" t="s">
        <v>349</v>
      </c>
      <c r="J25" t="s">
        <v>253</v>
      </c>
      <c r="K25">
        <v>2</v>
      </c>
      <c r="L25" s="8">
        <v>1.994</v>
      </c>
      <c r="M25" s="8">
        <v>1.718</v>
      </c>
      <c r="N25" s="8">
        <v>4</v>
      </c>
      <c r="O25" s="8">
        <v>3</v>
      </c>
      <c r="P25" s="8" t="s">
        <v>629</v>
      </c>
      <c r="Q25" s="8" t="s">
        <v>630</v>
      </c>
      <c r="R25" t="str">
        <f t="shared" si="0"/>
        <v>instruction/articulation.png</v>
      </c>
    </row>
  </sheetData>
  <phoneticPr fontId="4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7636C-4F75-45C8-9A46-2FEDBD8E1F51}">
  <dimension ref="A1:R25"/>
  <sheetViews>
    <sheetView topLeftCell="A15" zoomScale="72" zoomScaleNormal="92" workbookViewId="0">
      <pane xSplit="4" topLeftCell="E1" activePane="topRight" state="frozen"/>
      <selection pane="topRight" activeCell="C27" sqref="C27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4" width="13.1640625" style="8" customWidth="1"/>
    <col min="15" max="15" width="15.6640625" style="8" customWidth="1"/>
    <col min="16" max="17" width="25.164062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2</v>
      </c>
      <c r="B2" t="s">
        <v>359</v>
      </c>
      <c r="C2" t="s">
        <v>363</v>
      </c>
      <c r="D2" t="s">
        <v>364</v>
      </c>
      <c r="E2" t="s">
        <v>475</v>
      </c>
      <c r="F2" t="s">
        <v>487</v>
      </c>
      <c r="G2" t="s">
        <v>488</v>
      </c>
      <c r="H2" t="s">
        <v>489</v>
      </c>
      <c r="I2" t="s">
        <v>5</v>
      </c>
      <c r="J2" t="s">
        <v>8</v>
      </c>
      <c r="K2">
        <v>1</v>
      </c>
      <c r="L2" s="8">
        <v>1.7589999999999999</v>
      </c>
      <c r="M2" s="8">
        <v>2.0489999999999999</v>
      </c>
      <c r="N2" s="8">
        <v>2</v>
      </c>
      <c r="O2" s="8">
        <v>6</v>
      </c>
      <c r="P2" s="8" t="s">
        <v>490</v>
      </c>
      <c r="Q2" s="8" t="s">
        <v>491</v>
      </c>
      <c r="R2" t="str">
        <f>IF(2 = "articulation", "instruction/articulation.png", "instruction/notask.png")</f>
        <v>instruction/notask.png</v>
      </c>
    </row>
    <row r="3" spans="1:18" x14ac:dyDescent="0.2">
      <c r="A3">
        <v>3</v>
      </c>
      <c r="B3" t="s">
        <v>359</v>
      </c>
      <c r="C3" t="s">
        <v>363</v>
      </c>
      <c r="D3" t="s">
        <v>360</v>
      </c>
      <c r="E3" t="s">
        <v>476</v>
      </c>
      <c r="F3" t="s">
        <v>492</v>
      </c>
      <c r="G3" t="s">
        <v>493</v>
      </c>
      <c r="H3" t="s">
        <v>494</v>
      </c>
      <c r="I3" t="s">
        <v>6</v>
      </c>
      <c r="J3" t="s">
        <v>7</v>
      </c>
      <c r="K3">
        <v>2</v>
      </c>
      <c r="L3" s="8">
        <v>1.64</v>
      </c>
      <c r="M3" s="8">
        <v>2.069</v>
      </c>
      <c r="N3" s="8">
        <v>3</v>
      </c>
      <c r="O3" s="8">
        <v>5</v>
      </c>
      <c r="P3" s="8" t="s">
        <v>495</v>
      </c>
      <c r="Q3" s="8" t="s">
        <v>496</v>
      </c>
      <c r="R3" t="str">
        <f t="shared" ref="R3:R19" si="0">IF(C3 = "articulation", "instruction/articulation.png", "instruction/notask.png")</f>
        <v>instruction/notask.png</v>
      </c>
    </row>
    <row r="4" spans="1:18" x14ac:dyDescent="0.2">
      <c r="A4">
        <v>5</v>
      </c>
      <c r="B4" t="s">
        <v>366</v>
      </c>
      <c r="C4" t="s">
        <v>363</v>
      </c>
      <c r="D4" t="s">
        <v>364</v>
      </c>
      <c r="E4" t="s">
        <v>477</v>
      </c>
      <c r="F4" t="s">
        <v>497</v>
      </c>
      <c r="G4" t="s">
        <v>498</v>
      </c>
      <c r="H4" t="s">
        <v>499</v>
      </c>
      <c r="I4" t="s">
        <v>13</v>
      </c>
      <c r="J4" t="s">
        <v>12</v>
      </c>
      <c r="K4">
        <v>1</v>
      </c>
      <c r="L4" s="8">
        <v>1.7150000000000001</v>
      </c>
      <c r="M4" s="8">
        <v>2.0750000000000002</v>
      </c>
      <c r="N4" s="8">
        <v>4</v>
      </c>
      <c r="O4" s="8">
        <v>4</v>
      </c>
      <c r="P4" s="8" t="s">
        <v>500</v>
      </c>
      <c r="Q4" s="8" t="s">
        <v>501</v>
      </c>
      <c r="R4" t="str">
        <f t="shared" si="0"/>
        <v>instruction/notask.png</v>
      </c>
    </row>
    <row r="5" spans="1:18" x14ac:dyDescent="0.2">
      <c r="A5">
        <v>7</v>
      </c>
      <c r="B5" t="s">
        <v>366</v>
      </c>
      <c r="C5" t="s">
        <v>362</v>
      </c>
      <c r="D5" t="s">
        <v>364</v>
      </c>
      <c r="E5" t="s">
        <v>478</v>
      </c>
      <c r="F5" t="s">
        <v>502</v>
      </c>
      <c r="G5" t="s">
        <v>503</v>
      </c>
      <c r="H5" t="s">
        <v>504</v>
      </c>
      <c r="I5" t="s">
        <v>20</v>
      </c>
      <c r="J5" t="s">
        <v>22</v>
      </c>
      <c r="K5">
        <v>1</v>
      </c>
      <c r="L5" s="8">
        <v>1.9159999999999999</v>
      </c>
      <c r="M5" s="8">
        <v>2.395</v>
      </c>
      <c r="N5" s="8">
        <v>2</v>
      </c>
      <c r="O5" s="8">
        <v>3</v>
      </c>
      <c r="P5" s="8" t="s">
        <v>505</v>
      </c>
      <c r="Q5" s="8" t="s">
        <v>506</v>
      </c>
      <c r="R5" t="str">
        <f t="shared" si="0"/>
        <v>instruction/articulation.png</v>
      </c>
    </row>
    <row r="6" spans="1:18" x14ac:dyDescent="0.2">
      <c r="A6">
        <v>9</v>
      </c>
      <c r="B6" t="s">
        <v>359</v>
      </c>
      <c r="C6" t="s">
        <v>362</v>
      </c>
      <c r="D6" t="s">
        <v>360</v>
      </c>
      <c r="E6" t="s">
        <v>479</v>
      </c>
      <c r="F6" t="s">
        <v>507</v>
      </c>
      <c r="G6" t="s">
        <v>508</v>
      </c>
      <c r="H6" t="s">
        <v>509</v>
      </c>
      <c r="I6" t="s">
        <v>60</v>
      </c>
      <c r="J6" t="s">
        <v>59</v>
      </c>
      <c r="K6">
        <v>2</v>
      </c>
      <c r="L6" s="8">
        <v>1.675</v>
      </c>
      <c r="M6" s="8">
        <v>2.165</v>
      </c>
      <c r="N6" s="8">
        <v>3</v>
      </c>
      <c r="O6" s="8">
        <v>6</v>
      </c>
      <c r="P6" s="8" t="s">
        <v>510</v>
      </c>
      <c r="Q6" s="8" t="s">
        <v>511</v>
      </c>
      <c r="R6" t="str">
        <f t="shared" si="0"/>
        <v>instruction/articulation.png</v>
      </c>
    </row>
    <row r="7" spans="1:18" x14ac:dyDescent="0.2">
      <c r="A7">
        <v>12</v>
      </c>
      <c r="B7" t="s">
        <v>359</v>
      </c>
      <c r="C7" t="s">
        <v>362</v>
      </c>
      <c r="D7" t="s">
        <v>364</v>
      </c>
      <c r="E7" t="s">
        <v>480</v>
      </c>
      <c r="F7" t="s">
        <v>512</v>
      </c>
      <c r="G7" t="s">
        <v>513</v>
      </c>
      <c r="H7" t="s">
        <v>514</v>
      </c>
      <c r="I7" t="s">
        <v>32</v>
      </c>
      <c r="J7" t="s">
        <v>33</v>
      </c>
      <c r="K7">
        <v>1</v>
      </c>
      <c r="L7" s="8">
        <v>1.9159999999999999</v>
      </c>
      <c r="M7" s="8">
        <v>1.98</v>
      </c>
      <c r="N7" s="8">
        <v>4</v>
      </c>
      <c r="O7" s="8">
        <v>5</v>
      </c>
      <c r="P7" s="8" t="s">
        <v>515</v>
      </c>
      <c r="Q7" s="8" t="s">
        <v>516</v>
      </c>
      <c r="R7" t="str">
        <f t="shared" si="0"/>
        <v>instruction/articulation.png</v>
      </c>
    </row>
    <row r="8" spans="1:18" x14ac:dyDescent="0.2">
      <c r="A8">
        <v>14</v>
      </c>
      <c r="B8" t="s">
        <v>366</v>
      </c>
      <c r="C8" t="s">
        <v>362</v>
      </c>
      <c r="D8" t="s">
        <v>360</v>
      </c>
      <c r="E8" t="s">
        <v>481</v>
      </c>
      <c r="F8" t="s">
        <v>517</v>
      </c>
      <c r="G8" t="s">
        <v>518</v>
      </c>
      <c r="H8" t="s">
        <v>519</v>
      </c>
      <c r="I8" t="s">
        <v>54</v>
      </c>
      <c r="J8" t="s">
        <v>55</v>
      </c>
      <c r="K8">
        <v>2</v>
      </c>
      <c r="L8" s="8">
        <v>1.579</v>
      </c>
      <c r="M8" s="8">
        <v>2.194</v>
      </c>
      <c r="N8" s="8">
        <v>2</v>
      </c>
      <c r="O8" s="8">
        <v>4</v>
      </c>
      <c r="P8" s="8" t="s">
        <v>520</v>
      </c>
      <c r="Q8" s="8" t="s">
        <v>521</v>
      </c>
      <c r="R8" t="str">
        <f t="shared" si="0"/>
        <v>instruction/articulation.png</v>
      </c>
    </row>
    <row r="9" spans="1:18" x14ac:dyDescent="0.2">
      <c r="A9">
        <v>16</v>
      </c>
      <c r="B9" t="s">
        <v>366</v>
      </c>
      <c r="C9" t="s">
        <v>363</v>
      </c>
      <c r="D9" t="s">
        <v>360</v>
      </c>
      <c r="E9" t="s">
        <v>482</v>
      </c>
      <c r="F9" t="s">
        <v>522</v>
      </c>
      <c r="G9" t="s">
        <v>523</v>
      </c>
      <c r="H9" t="s">
        <v>524</v>
      </c>
      <c r="I9" t="s">
        <v>49</v>
      </c>
      <c r="J9" t="s">
        <v>50</v>
      </c>
      <c r="K9">
        <v>2</v>
      </c>
      <c r="L9" s="8">
        <v>1.466</v>
      </c>
      <c r="M9" s="8">
        <v>2.02</v>
      </c>
      <c r="N9" s="8">
        <v>3</v>
      </c>
      <c r="O9" s="8">
        <v>3</v>
      </c>
      <c r="P9" s="8" t="s">
        <v>525</v>
      </c>
      <c r="Q9" s="8" t="s">
        <v>526</v>
      </c>
      <c r="R9" t="str">
        <f t="shared" si="0"/>
        <v>instruction/notask.png</v>
      </c>
    </row>
    <row r="10" spans="1:18" x14ac:dyDescent="0.2">
      <c r="A10">
        <v>18</v>
      </c>
      <c r="B10" t="s">
        <v>359</v>
      </c>
      <c r="C10" t="s">
        <v>363</v>
      </c>
      <c r="D10" t="s">
        <v>364</v>
      </c>
      <c r="E10" t="s">
        <v>483</v>
      </c>
      <c r="F10" t="s">
        <v>527</v>
      </c>
      <c r="G10" t="s">
        <v>528</v>
      </c>
      <c r="H10" t="s">
        <v>529</v>
      </c>
      <c r="I10" t="s">
        <v>37</v>
      </c>
      <c r="J10" t="s">
        <v>38</v>
      </c>
      <c r="K10">
        <v>1</v>
      </c>
      <c r="L10" s="8">
        <v>1.7150000000000001</v>
      </c>
      <c r="M10" s="8">
        <v>2.4900000000000002</v>
      </c>
      <c r="N10" s="8">
        <v>4</v>
      </c>
      <c r="O10" s="8">
        <v>6</v>
      </c>
      <c r="P10" s="8" t="s">
        <v>530</v>
      </c>
      <c r="Q10" s="8" t="s">
        <v>531</v>
      </c>
      <c r="R10" t="str">
        <f t="shared" si="0"/>
        <v>instruction/notask.png</v>
      </c>
    </row>
    <row r="11" spans="1:18" x14ac:dyDescent="0.2">
      <c r="A11">
        <v>20</v>
      </c>
      <c r="B11" t="s">
        <v>359</v>
      </c>
      <c r="C11" t="s">
        <v>362</v>
      </c>
      <c r="D11" t="s">
        <v>364</v>
      </c>
      <c r="E11" t="s">
        <v>484</v>
      </c>
      <c r="F11" t="s">
        <v>532</v>
      </c>
      <c r="G11" t="s">
        <v>533</v>
      </c>
      <c r="H11" t="s">
        <v>534</v>
      </c>
      <c r="I11" t="s">
        <v>47</v>
      </c>
      <c r="J11" t="s">
        <v>44</v>
      </c>
      <c r="K11">
        <v>1</v>
      </c>
      <c r="L11" s="8">
        <v>1.7789999999999999</v>
      </c>
      <c r="M11" s="8">
        <v>2.331</v>
      </c>
      <c r="N11" s="8">
        <v>2</v>
      </c>
      <c r="O11" s="8">
        <v>5</v>
      </c>
      <c r="P11" s="8" t="s">
        <v>535</v>
      </c>
      <c r="Q11" s="8" t="s">
        <v>536</v>
      </c>
      <c r="R11" t="str">
        <f t="shared" si="0"/>
        <v>instruction/articulation.png</v>
      </c>
    </row>
    <row r="12" spans="1:18" x14ac:dyDescent="0.2">
      <c r="A12">
        <v>22</v>
      </c>
      <c r="B12" t="s">
        <v>366</v>
      </c>
      <c r="C12" t="s">
        <v>362</v>
      </c>
      <c r="D12" t="s">
        <v>360</v>
      </c>
      <c r="E12" t="s">
        <v>485</v>
      </c>
      <c r="F12" t="s">
        <v>537</v>
      </c>
      <c r="G12" t="s">
        <v>538</v>
      </c>
      <c r="H12" t="s">
        <v>539</v>
      </c>
      <c r="I12" t="s">
        <v>65</v>
      </c>
      <c r="J12" t="s">
        <v>66</v>
      </c>
      <c r="K12">
        <v>2</v>
      </c>
      <c r="L12" s="8">
        <v>1.736</v>
      </c>
      <c r="M12" s="8">
        <v>2.2839999999999998</v>
      </c>
      <c r="N12" s="8">
        <v>3</v>
      </c>
      <c r="O12" s="8">
        <v>4</v>
      </c>
      <c r="P12" s="8" t="s">
        <v>540</v>
      </c>
      <c r="Q12" s="8" t="s">
        <v>541</v>
      </c>
      <c r="R12" t="str">
        <f t="shared" si="0"/>
        <v>instruction/articulation.png</v>
      </c>
    </row>
    <row r="13" spans="1:18" x14ac:dyDescent="0.2">
      <c r="A13">
        <v>24</v>
      </c>
      <c r="B13" t="s">
        <v>366</v>
      </c>
      <c r="C13" t="s">
        <v>363</v>
      </c>
      <c r="D13" t="s">
        <v>360</v>
      </c>
      <c r="E13" t="s">
        <v>486</v>
      </c>
      <c r="F13" t="s">
        <v>542</v>
      </c>
      <c r="G13" t="s">
        <v>543</v>
      </c>
      <c r="H13" t="s">
        <v>544</v>
      </c>
      <c r="I13" t="s">
        <v>71</v>
      </c>
      <c r="J13" t="s">
        <v>73</v>
      </c>
      <c r="K13">
        <v>2</v>
      </c>
      <c r="L13" s="8">
        <v>1.5589999999999999</v>
      </c>
      <c r="M13" s="8">
        <v>2.3540000000000001</v>
      </c>
      <c r="N13" s="8">
        <v>4</v>
      </c>
      <c r="O13" s="8">
        <v>3</v>
      </c>
      <c r="P13" s="8" t="s">
        <v>545</v>
      </c>
      <c r="Q13" s="8" t="s">
        <v>546</v>
      </c>
      <c r="R13" t="str">
        <f t="shared" si="0"/>
        <v>instruction/notask.png</v>
      </c>
    </row>
    <row r="14" spans="1:18" x14ac:dyDescent="0.2">
      <c r="A14">
        <v>104</v>
      </c>
      <c r="B14" t="s">
        <v>388</v>
      </c>
      <c r="C14" t="s">
        <v>363</v>
      </c>
      <c r="D14" t="s">
        <v>388</v>
      </c>
      <c r="E14" t="s">
        <v>706</v>
      </c>
      <c r="F14" t="s">
        <v>161</v>
      </c>
      <c r="G14" t="s">
        <v>179</v>
      </c>
      <c r="H14" t="s">
        <v>162</v>
      </c>
      <c r="I14" t="s">
        <v>164</v>
      </c>
      <c r="J14" t="s">
        <v>163</v>
      </c>
      <c r="K14">
        <v>2</v>
      </c>
      <c r="L14" s="8">
        <v>1.8080000000000001</v>
      </c>
      <c r="M14" s="8">
        <v>2.04</v>
      </c>
      <c r="N14" s="8">
        <v>2</v>
      </c>
      <c r="O14" s="8">
        <v>6</v>
      </c>
      <c r="P14" s="8" t="s">
        <v>547</v>
      </c>
      <c r="Q14" s="8" t="s">
        <v>548</v>
      </c>
      <c r="R14" t="str">
        <f t="shared" si="0"/>
        <v>instruction/notask.png</v>
      </c>
    </row>
    <row r="15" spans="1:18" x14ac:dyDescent="0.2">
      <c r="A15">
        <v>105</v>
      </c>
      <c r="B15" t="s">
        <v>388</v>
      </c>
      <c r="C15" t="s">
        <v>362</v>
      </c>
      <c r="D15" t="s">
        <v>388</v>
      </c>
      <c r="E15" t="s">
        <v>707</v>
      </c>
      <c r="F15" t="s">
        <v>222</v>
      </c>
      <c r="G15" t="s">
        <v>178</v>
      </c>
      <c r="H15" t="s">
        <v>158</v>
      </c>
      <c r="I15" t="s">
        <v>160</v>
      </c>
      <c r="J15" t="s">
        <v>159</v>
      </c>
      <c r="K15">
        <v>1</v>
      </c>
      <c r="L15" s="8">
        <v>1.3089999999999999</v>
      </c>
      <c r="M15" s="8">
        <v>2.0960000000000001</v>
      </c>
      <c r="N15" s="8">
        <v>3</v>
      </c>
      <c r="O15" s="8">
        <v>5</v>
      </c>
      <c r="P15" s="8" t="s">
        <v>549</v>
      </c>
      <c r="Q15" s="8" t="s">
        <v>550</v>
      </c>
      <c r="R15" t="str">
        <f t="shared" si="0"/>
        <v>instruction/articulation.png</v>
      </c>
    </row>
    <row r="16" spans="1:18" x14ac:dyDescent="0.2">
      <c r="A16">
        <v>106</v>
      </c>
      <c r="B16" t="s">
        <v>388</v>
      </c>
      <c r="C16" t="s">
        <v>363</v>
      </c>
      <c r="D16" t="s">
        <v>388</v>
      </c>
      <c r="E16" t="s">
        <v>708</v>
      </c>
      <c r="F16" t="s">
        <v>169</v>
      </c>
      <c r="G16" t="s">
        <v>165</v>
      </c>
      <c r="H16" t="s">
        <v>166</v>
      </c>
      <c r="I16" t="s">
        <v>168</v>
      </c>
      <c r="J16" t="s">
        <v>167</v>
      </c>
      <c r="K16">
        <v>2</v>
      </c>
      <c r="L16" s="8">
        <v>1.704</v>
      </c>
      <c r="M16" s="8">
        <v>1.718</v>
      </c>
      <c r="N16" s="8">
        <v>4</v>
      </c>
      <c r="O16" s="8">
        <v>4</v>
      </c>
      <c r="P16" s="8" t="s">
        <v>551</v>
      </c>
      <c r="Q16" s="8" t="s">
        <v>552</v>
      </c>
      <c r="R16" t="str">
        <f t="shared" si="0"/>
        <v>instruction/notask.png</v>
      </c>
    </row>
    <row r="17" spans="1:18" x14ac:dyDescent="0.2">
      <c r="A17">
        <v>113</v>
      </c>
      <c r="B17" t="s">
        <v>388</v>
      </c>
      <c r="C17" t="s">
        <v>362</v>
      </c>
      <c r="D17" t="s">
        <v>388</v>
      </c>
      <c r="E17" t="s">
        <v>709</v>
      </c>
      <c r="F17" t="s">
        <v>184</v>
      </c>
      <c r="G17" t="s">
        <v>185</v>
      </c>
      <c r="H17" t="s">
        <v>188</v>
      </c>
      <c r="I17" t="s">
        <v>186</v>
      </c>
      <c r="J17" t="s">
        <v>187</v>
      </c>
      <c r="K17">
        <v>1</v>
      </c>
      <c r="L17" s="8">
        <v>1.84</v>
      </c>
      <c r="M17" s="8">
        <v>1.591</v>
      </c>
      <c r="N17" s="8">
        <v>2</v>
      </c>
      <c r="O17" s="8">
        <v>3</v>
      </c>
      <c r="P17" s="8" t="s">
        <v>553</v>
      </c>
      <c r="Q17" s="8" t="s">
        <v>554</v>
      </c>
      <c r="R17" t="str">
        <f t="shared" si="0"/>
        <v>instruction/articulation.png</v>
      </c>
    </row>
    <row r="18" spans="1:18" x14ac:dyDescent="0.2">
      <c r="A18">
        <v>114</v>
      </c>
      <c r="B18" t="s">
        <v>388</v>
      </c>
      <c r="C18" t="s">
        <v>363</v>
      </c>
      <c r="D18" t="s">
        <v>388</v>
      </c>
      <c r="E18" t="s">
        <v>710</v>
      </c>
      <c r="F18" t="s">
        <v>249</v>
      </c>
      <c r="G18" t="s">
        <v>250</v>
      </c>
      <c r="H18" t="s">
        <v>189</v>
      </c>
      <c r="I18" t="s">
        <v>191</v>
      </c>
      <c r="J18" t="s">
        <v>190</v>
      </c>
      <c r="K18">
        <v>2</v>
      </c>
      <c r="L18" s="8">
        <v>1.593</v>
      </c>
      <c r="M18" s="8">
        <v>1.9450000000000001</v>
      </c>
      <c r="N18" s="8">
        <v>3</v>
      </c>
      <c r="O18" s="8">
        <v>6</v>
      </c>
      <c r="P18" s="8" t="s">
        <v>555</v>
      </c>
      <c r="Q18" s="8" t="s">
        <v>556</v>
      </c>
      <c r="R18" t="str">
        <f t="shared" si="0"/>
        <v>instruction/notask.png</v>
      </c>
    </row>
    <row r="19" spans="1:18" x14ac:dyDescent="0.2">
      <c r="A19">
        <v>115</v>
      </c>
      <c r="B19" t="s">
        <v>388</v>
      </c>
      <c r="C19" t="s">
        <v>362</v>
      </c>
      <c r="D19" t="s">
        <v>388</v>
      </c>
      <c r="E19" t="s">
        <v>711</v>
      </c>
      <c r="F19" t="s">
        <v>224</v>
      </c>
      <c r="G19" t="s">
        <v>223</v>
      </c>
      <c r="H19" t="s">
        <v>225</v>
      </c>
      <c r="I19" t="s">
        <v>226</v>
      </c>
      <c r="J19" t="s">
        <v>153</v>
      </c>
      <c r="K19">
        <v>1</v>
      </c>
      <c r="L19" s="8">
        <v>1.71</v>
      </c>
      <c r="M19" s="8">
        <v>2.0230000000000001</v>
      </c>
      <c r="N19" s="8">
        <v>4</v>
      </c>
      <c r="O19" s="8">
        <v>5</v>
      </c>
      <c r="P19" s="8" t="s">
        <v>557</v>
      </c>
      <c r="Q19" s="8" t="s">
        <v>558</v>
      </c>
      <c r="R19" t="str">
        <f t="shared" si="0"/>
        <v>instruction/articulation.png</v>
      </c>
    </row>
    <row r="20" spans="1:18" x14ac:dyDescent="0.2">
      <c r="A20">
        <v>128</v>
      </c>
      <c r="B20" t="s">
        <v>388</v>
      </c>
      <c r="C20" t="s">
        <v>363</v>
      </c>
      <c r="D20" t="s">
        <v>388</v>
      </c>
      <c r="E20" t="s">
        <v>712</v>
      </c>
      <c r="F20" t="s">
        <v>297</v>
      </c>
      <c r="G20" t="s">
        <v>298</v>
      </c>
      <c r="H20" t="s">
        <v>299</v>
      </c>
      <c r="I20" t="s">
        <v>296</v>
      </c>
      <c r="J20" t="s">
        <v>151</v>
      </c>
      <c r="K20">
        <v>2</v>
      </c>
      <c r="L20" s="8">
        <v>1.9159999999999999</v>
      </c>
      <c r="M20" s="8">
        <v>1.794</v>
      </c>
      <c r="N20" s="8">
        <v>2</v>
      </c>
      <c r="O20" s="8">
        <v>4</v>
      </c>
      <c r="P20" s="8" t="s">
        <v>559</v>
      </c>
      <c r="Q20" s="8" t="s">
        <v>560</v>
      </c>
      <c r="R20" t="str">
        <f>IF(20 = "articulation", "instruction/articulation.png", "instruction/notask.png")</f>
        <v>instruction/notask.png</v>
      </c>
    </row>
    <row r="21" spans="1:18" x14ac:dyDescent="0.2">
      <c r="A21">
        <v>129</v>
      </c>
      <c r="B21" t="s">
        <v>388</v>
      </c>
      <c r="C21" t="s">
        <v>362</v>
      </c>
      <c r="D21" t="s">
        <v>388</v>
      </c>
      <c r="E21" t="s">
        <v>713</v>
      </c>
      <c r="F21" t="s">
        <v>277</v>
      </c>
      <c r="G21" t="s">
        <v>278</v>
      </c>
      <c r="H21" t="s">
        <v>279</v>
      </c>
      <c r="I21" t="s">
        <v>276</v>
      </c>
      <c r="J21" t="s">
        <v>275</v>
      </c>
      <c r="K21">
        <v>1</v>
      </c>
      <c r="L21" s="8">
        <v>2.2290000000000001</v>
      </c>
      <c r="M21" s="8">
        <v>1.869</v>
      </c>
      <c r="N21" s="8">
        <v>3</v>
      </c>
      <c r="O21" s="8">
        <v>3</v>
      </c>
      <c r="P21" s="8" t="s">
        <v>561</v>
      </c>
      <c r="Q21" s="8" t="s">
        <v>562</v>
      </c>
      <c r="R21" t="str">
        <f>IF(21 = "articulation", "instruction/articulation.png", "instruction/notask.png")</f>
        <v>instruction/notask.png</v>
      </c>
    </row>
    <row r="22" spans="1:18" x14ac:dyDescent="0.2">
      <c r="A22">
        <v>130</v>
      </c>
      <c r="B22" t="s">
        <v>388</v>
      </c>
      <c r="C22" t="s">
        <v>363</v>
      </c>
      <c r="D22" t="s">
        <v>388</v>
      </c>
      <c r="E22" t="s">
        <v>714</v>
      </c>
      <c r="F22" t="s">
        <v>285</v>
      </c>
      <c r="G22" t="s">
        <v>286</v>
      </c>
      <c r="H22" t="s">
        <v>287</v>
      </c>
      <c r="I22" t="s">
        <v>288</v>
      </c>
      <c r="J22" t="s">
        <v>289</v>
      </c>
      <c r="K22">
        <v>2</v>
      </c>
      <c r="L22" s="8">
        <v>2.0960000000000001</v>
      </c>
      <c r="M22" s="8">
        <v>1.855</v>
      </c>
      <c r="N22" s="8">
        <v>4</v>
      </c>
      <c r="O22" s="8">
        <v>6</v>
      </c>
      <c r="P22" s="8" t="s">
        <v>563</v>
      </c>
      <c r="Q22" s="8" t="s">
        <v>564</v>
      </c>
      <c r="R22" t="str">
        <f>IF(22 = "articulation", "instruction/articulation.png", "instruction/notask.png")</f>
        <v>instruction/notask.png</v>
      </c>
    </row>
    <row r="23" spans="1:18" x14ac:dyDescent="0.2">
      <c r="A23">
        <v>137</v>
      </c>
      <c r="B23" t="s">
        <v>388</v>
      </c>
      <c r="C23" t="s">
        <v>362</v>
      </c>
      <c r="D23" t="s">
        <v>388</v>
      </c>
      <c r="E23" t="s">
        <v>715</v>
      </c>
      <c r="F23" t="s">
        <v>309</v>
      </c>
      <c r="G23" t="s">
        <v>310</v>
      </c>
      <c r="H23" t="s">
        <v>311</v>
      </c>
      <c r="I23" t="s">
        <v>312</v>
      </c>
      <c r="J23" t="s">
        <v>313</v>
      </c>
      <c r="K23">
        <v>1</v>
      </c>
      <c r="L23" s="8">
        <v>1.9590000000000001</v>
      </c>
      <c r="M23" s="8">
        <v>1.5089999999999999</v>
      </c>
      <c r="N23" s="8">
        <v>2</v>
      </c>
      <c r="O23" s="8">
        <v>5</v>
      </c>
      <c r="P23" s="8" t="s">
        <v>565</v>
      </c>
      <c r="Q23" s="8" t="s">
        <v>566</v>
      </c>
      <c r="R23" t="str">
        <f>IF(23 = "articulation", "instruction/articulation.png", "instruction/notask.png")</f>
        <v>instruction/notask.png</v>
      </c>
    </row>
    <row r="24" spans="1:18" x14ac:dyDescent="0.2">
      <c r="A24">
        <v>138</v>
      </c>
      <c r="B24" t="s">
        <v>388</v>
      </c>
      <c r="C24" t="s">
        <v>363</v>
      </c>
      <c r="D24" t="s">
        <v>388</v>
      </c>
      <c r="E24" t="s">
        <v>716</v>
      </c>
      <c r="F24" t="s">
        <v>316</v>
      </c>
      <c r="G24" t="s">
        <v>317</v>
      </c>
      <c r="H24" t="s">
        <v>322</v>
      </c>
      <c r="I24" t="s">
        <v>318</v>
      </c>
      <c r="J24" t="s">
        <v>319</v>
      </c>
      <c r="K24">
        <v>2</v>
      </c>
      <c r="L24" s="8">
        <v>1.895</v>
      </c>
      <c r="M24" s="8">
        <v>1.8340000000000001</v>
      </c>
      <c r="N24" s="8">
        <v>3</v>
      </c>
      <c r="O24" s="8">
        <v>4</v>
      </c>
      <c r="P24" s="8" t="s">
        <v>567</v>
      </c>
      <c r="Q24" s="8" t="s">
        <v>568</v>
      </c>
      <c r="R24" t="str">
        <f>IF(24 = "articulation", "instruction/articulation.png", "instruction/notask.png")</f>
        <v>instruction/notask.png</v>
      </c>
    </row>
    <row r="25" spans="1:18" x14ac:dyDescent="0.2">
      <c r="A25">
        <v>139</v>
      </c>
      <c r="B25" t="s">
        <v>388</v>
      </c>
      <c r="C25" t="s">
        <v>362</v>
      </c>
      <c r="D25" t="s">
        <v>388</v>
      </c>
      <c r="E25" t="s">
        <v>717</v>
      </c>
      <c r="F25" t="s">
        <v>354</v>
      </c>
      <c r="G25" t="s">
        <v>350</v>
      </c>
      <c r="H25" t="s">
        <v>351</v>
      </c>
      <c r="I25" t="s">
        <v>353</v>
      </c>
      <c r="J25" t="s">
        <v>352</v>
      </c>
      <c r="K25">
        <v>1</v>
      </c>
      <c r="L25" s="8">
        <v>1.9590000000000001</v>
      </c>
      <c r="M25" s="8">
        <v>2.069</v>
      </c>
      <c r="N25" s="8">
        <v>4</v>
      </c>
      <c r="O25" s="8">
        <v>3</v>
      </c>
      <c r="P25" s="8" t="s">
        <v>569</v>
      </c>
      <c r="Q25" s="8" t="s">
        <v>570</v>
      </c>
      <c r="R25" t="str">
        <f>IF(25 = "articulation", "instruction/articulation.png", "instruction/notask.png")</f>
        <v>instruction/notask.png</v>
      </c>
    </row>
  </sheetData>
  <phoneticPr fontId="4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E019-A191-A14B-9030-55E7A4800016}">
  <dimension ref="A1:R25"/>
  <sheetViews>
    <sheetView tabSelected="1" zoomScale="72" zoomScaleNormal="92" workbookViewId="0">
      <pane xSplit="4" topLeftCell="K1" activePane="topRight" state="frozen"/>
      <selection pane="topRight" activeCell="O31" sqref="O31"/>
    </sheetView>
  </sheetViews>
  <sheetFormatPr baseColWidth="10" defaultColWidth="10.6640625" defaultRowHeight="16" x14ac:dyDescent="0.2"/>
  <cols>
    <col min="2" max="2" width="14.83203125" customWidth="1"/>
    <col min="3" max="3" width="15.5" customWidth="1"/>
    <col min="5" max="5" width="31" customWidth="1"/>
    <col min="6" max="6" width="30.1640625" customWidth="1"/>
    <col min="7" max="7" width="35" customWidth="1"/>
    <col min="8" max="8" width="32.33203125" customWidth="1"/>
    <col min="12" max="12" width="10.6640625" style="8"/>
    <col min="13" max="14" width="13.1640625" style="8" customWidth="1"/>
    <col min="15" max="15" width="15.6640625" style="8" customWidth="1"/>
    <col min="16" max="16" width="25.1640625" customWidth="1"/>
    <col min="17" max="17" width="32.5" customWidth="1"/>
    <col min="18" max="18" width="29.6640625" customWidth="1"/>
  </cols>
  <sheetData>
    <row r="1" spans="1:18" x14ac:dyDescent="0.2">
      <c r="A1" t="s">
        <v>76</v>
      </c>
      <c r="B1" t="s">
        <v>358</v>
      </c>
      <c r="C1" t="s">
        <v>361</v>
      </c>
      <c r="D1" t="s">
        <v>360</v>
      </c>
      <c r="E1" t="s">
        <v>368</v>
      </c>
      <c r="F1" t="s">
        <v>119</v>
      </c>
      <c r="G1" t="s">
        <v>120</v>
      </c>
      <c r="H1" t="s">
        <v>121</v>
      </c>
      <c r="I1" t="s">
        <v>122</v>
      </c>
      <c r="J1" t="s">
        <v>123</v>
      </c>
      <c r="K1" t="s">
        <v>124</v>
      </c>
      <c r="L1" s="8" t="s">
        <v>369</v>
      </c>
      <c r="M1" s="8" t="s">
        <v>370</v>
      </c>
      <c r="N1" s="8" t="s">
        <v>374</v>
      </c>
      <c r="O1" s="8" t="s">
        <v>375</v>
      </c>
      <c r="P1" t="s">
        <v>371</v>
      </c>
      <c r="Q1" t="s">
        <v>372</v>
      </c>
      <c r="R1" t="s">
        <v>373</v>
      </c>
    </row>
    <row r="2" spans="1:18" x14ac:dyDescent="0.2">
      <c r="A2">
        <v>1</v>
      </c>
      <c r="B2" t="s">
        <v>359</v>
      </c>
      <c r="C2" t="s">
        <v>362</v>
      </c>
      <c r="D2" t="s">
        <v>360</v>
      </c>
      <c r="E2" t="s">
        <v>376</v>
      </c>
      <c r="F2" t="s">
        <v>389</v>
      </c>
      <c r="G2" t="s">
        <v>390</v>
      </c>
      <c r="H2" t="s">
        <v>391</v>
      </c>
      <c r="I2" t="s">
        <v>2</v>
      </c>
      <c r="J2" t="s">
        <v>0</v>
      </c>
      <c r="K2">
        <v>2</v>
      </c>
      <c r="L2" s="8">
        <v>1.6830000000000001</v>
      </c>
      <c r="M2" s="8">
        <v>2.3250000000000002</v>
      </c>
      <c r="N2" s="8">
        <v>2</v>
      </c>
      <c r="O2" s="8">
        <v>6</v>
      </c>
      <c r="P2" t="s">
        <v>426</v>
      </c>
      <c r="Q2" t="s">
        <v>463</v>
      </c>
      <c r="R2" t="str">
        <f>IF(C2 = "articulation", "instruction/articulation.png", "instruction/notask.png")</f>
        <v>instruction/articulation.png</v>
      </c>
    </row>
    <row r="3" spans="1:18" x14ac:dyDescent="0.2">
      <c r="A3">
        <v>4</v>
      </c>
      <c r="B3" t="s">
        <v>359</v>
      </c>
      <c r="C3" t="s">
        <v>362</v>
      </c>
      <c r="D3" t="s">
        <v>364</v>
      </c>
      <c r="E3" t="s">
        <v>377</v>
      </c>
      <c r="F3" t="s">
        <v>392</v>
      </c>
      <c r="G3" t="s">
        <v>393</v>
      </c>
      <c r="H3" t="s">
        <v>394</v>
      </c>
      <c r="I3" t="s">
        <v>53</v>
      </c>
      <c r="J3" t="s">
        <v>10</v>
      </c>
      <c r="K3">
        <v>1</v>
      </c>
      <c r="L3" s="8">
        <v>1.5089999999999999</v>
      </c>
      <c r="M3" s="8">
        <v>2.601</v>
      </c>
      <c r="N3" s="8">
        <v>3</v>
      </c>
      <c r="O3" s="8">
        <v>5</v>
      </c>
      <c r="P3" t="s">
        <v>427</v>
      </c>
      <c r="Q3" t="s">
        <v>464</v>
      </c>
      <c r="R3" t="str">
        <f t="shared" ref="R3:R25" si="0">IF(C3 = "articulation", "instruction/articulation.png", "instruction/notask.png")</f>
        <v>instruction/articulation.png</v>
      </c>
    </row>
    <row r="4" spans="1:18" x14ac:dyDescent="0.2">
      <c r="A4">
        <v>6</v>
      </c>
      <c r="B4" t="s">
        <v>366</v>
      </c>
      <c r="C4" t="s">
        <v>362</v>
      </c>
      <c r="D4" t="s">
        <v>360</v>
      </c>
      <c r="E4" t="s">
        <v>378</v>
      </c>
      <c r="F4" t="s">
        <v>395</v>
      </c>
      <c r="G4" t="s">
        <v>396</v>
      </c>
      <c r="H4" t="s">
        <v>397</v>
      </c>
      <c r="I4" t="s">
        <v>15</v>
      </c>
      <c r="J4" t="s">
        <v>16</v>
      </c>
      <c r="K4">
        <v>2</v>
      </c>
      <c r="L4" s="8">
        <v>1.8979999999999999</v>
      </c>
      <c r="M4" s="8">
        <v>2.2989999999999999</v>
      </c>
      <c r="N4" s="8">
        <v>4</v>
      </c>
      <c r="O4" s="8">
        <v>4</v>
      </c>
      <c r="P4" t="s">
        <v>428</v>
      </c>
      <c r="Q4" t="s">
        <v>465</v>
      </c>
      <c r="R4" t="str">
        <f t="shared" si="0"/>
        <v>instruction/articulation.png</v>
      </c>
    </row>
    <row r="5" spans="1:18" x14ac:dyDescent="0.2">
      <c r="A5">
        <v>8</v>
      </c>
      <c r="B5" t="s">
        <v>366</v>
      </c>
      <c r="C5" t="s">
        <v>363</v>
      </c>
      <c r="D5" t="s">
        <v>360</v>
      </c>
      <c r="E5" t="s">
        <v>379</v>
      </c>
      <c r="F5" t="s">
        <v>398</v>
      </c>
      <c r="G5" t="s">
        <v>399</v>
      </c>
      <c r="H5" t="s">
        <v>400</v>
      </c>
      <c r="I5" t="s">
        <v>23</v>
      </c>
      <c r="J5" t="s">
        <v>18</v>
      </c>
      <c r="K5">
        <v>2</v>
      </c>
      <c r="L5" s="8">
        <v>1.8260000000000001</v>
      </c>
      <c r="M5" s="8">
        <v>2.2410000000000001</v>
      </c>
      <c r="N5" s="8">
        <v>2</v>
      </c>
      <c r="O5" s="8">
        <v>3</v>
      </c>
      <c r="P5" t="s">
        <v>429</v>
      </c>
      <c r="Q5" t="s">
        <v>466</v>
      </c>
      <c r="R5" t="str">
        <f t="shared" si="0"/>
        <v>instruction/notask.png</v>
      </c>
    </row>
    <row r="6" spans="1:18" x14ac:dyDescent="0.2">
      <c r="A6">
        <v>10</v>
      </c>
      <c r="B6" t="s">
        <v>359</v>
      </c>
      <c r="C6" t="s">
        <v>363</v>
      </c>
      <c r="D6" t="s">
        <v>364</v>
      </c>
      <c r="E6" t="s">
        <v>380</v>
      </c>
      <c r="F6" t="s">
        <v>401</v>
      </c>
      <c r="G6" t="s">
        <v>402</v>
      </c>
      <c r="H6" t="s">
        <v>403</v>
      </c>
      <c r="I6" t="s">
        <v>26</v>
      </c>
      <c r="J6" t="s">
        <v>24</v>
      </c>
      <c r="K6">
        <v>1</v>
      </c>
      <c r="L6" s="8">
        <v>1.7529999999999999</v>
      </c>
      <c r="M6" s="8">
        <v>2.3479999999999999</v>
      </c>
      <c r="N6" s="8">
        <v>3</v>
      </c>
      <c r="O6" s="8">
        <v>6</v>
      </c>
      <c r="P6" t="s">
        <v>430</v>
      </c>
      <c r="Q6" t="s">
        <v>467</v>
      </c>
      <c r="R6" t="str">
        <f t="shared" si="0"/>
        <v>instruction/notask.png</v>
      </c>
    </row>
    <row r="7" spans="1:18" x14ac:dyDescent="0.2">
      <c r="A7">
        <v>11</v>
      </c>
      <c r="B7" t="s">
        <v>359</v>
      </c>
      <c r="C7" t="s">
        <v>363</v>
      </c>
      <c r="D7" t="s">
        <v>360</v>
      </c>
      <c r="E7" t="s">
        <v>381</v>
      </c>
      <c r="F7" t="s">
        <v>404</v>
      </c>
      <c r="G7" t="s">
        <v>405</v>
      </c>
      <c r="H7" t="s">
        <v>406</v>
      </c>
      <c r="I7" t="s">
        <v>28</v>
      </c>
      <c r="J7" t="s">
        <v>27</v>
      </c>
      <c r="K7">
        <v>2</v>
      </c>
      <c r="L7" s="8">
        <v>1.585</v>
      </c>
      <c r="M7" s="8">
        <v>2.3450000000000002</v>
      </c>
      <c r="N7" s="8">
        <v>4</v>
      </c>
      <c r="O7" s="8">
        <v>5</v>
      </c>
      <c r="P7" t="s">
        <v>431</v>
      </c>
      <c r="Q7" t="s">
        <v>468</v>
      </c>
      <c r="R7" t="str">
        <f t="shared" si="0"/>
        <v>instruction/notask.png</v>
      </c>
    </row>
    <row r="8" spans="1:18" x14ac:dyDescent="0.2">
      <c r="A8">
        <v>13</v>
      </c>
      <c r="B8" t="s">
        <v>366</v>
      </c>
      <c r="C8" t="s">
        <v>363</v>
      </c>
      <c r="D8" t="s">
        <v>364</v>
      </c>
      <c r="E8" t="s">
        <v>382</v>
      </c>
      <c r="F8" t="s">
        <v>407</v>
      </c>
      <c r="G8" t="s">
        <v>408</v>
      </c>
      <c r="H8" t="s">
        <v>409</v>
      </c>
      <c r="I8" t="s">
        <v>36</v>
      </c>
      <c r="J8" t="s">
        <v>35</v>
      </c>
      <c r="K8">
        <v>1</v>
      </c>
      <c r="L8" s="8">
        <v>1.7729999999999999</v>
      </c>
      <c r="M8" s="8">
        <v>1.9710000000000001</v>
      </c>
      <c r="N8" s="8">
        <v>2</v>
      </c>
      <c r="O8" s="8">
        <v>4</v>
      </c>
      <c r="P8" t="s">
        <v>432</v>
      </c>
      <c r="Q8" t="s">
        <v>469</v>
      </c>
      <c r="R8" t="str">
        <f t="shared" si="0"/>
        <v>instruction/notask.png</v>
      </c>
    </row>
    <row r="9" spans="1:18" x14ac:dyDescent="0.2">
      <c r="A9">
        <v>15</v>
      </c>
      <c r="B9" t="s">
        <v>366</v>
      </c>
      <c r="C9" t="s">
        <v>362</v>
      </c>
      <c r="D9" t="s">
        <v>364</v>
      </c>
      <c r="E9" t="s">
        <v>383</v>
      </c>
      <c r="F9" t="s">
        <v>410</v>
      </c>
      <c r="G9" t="s">
        <v>411</v>
      </c>
      <c r="H9" t="s">
        <v>412</v>
      </c>
      <c r="I9" t="s">
        <v>58</v>
      </c>
      <c r="J9" t="s">
        <v>57</v>
      </c>
      <c r="K9">
        <v>1</v>
      </c>
      <c r="L9" s="8">
        <v>1.425</v>
      </c>
      <c r="M9" s="8">
        <v>2.56</v>
      </c>
      <c r="N9" s="8">
        <v>3</v>
      </c>
      <c r="O9" s="8">
        <v>3</v>
      </c>
      <c r="P9" t="s">
        <v>433</v>
      </c>
      <c r="Q9" t="s">
        <v>470</v>
      </c>
      <c r="R9" t="str">
        <f t="shared" si="0"/>
        <v>instruction/articulation.png</v>
      </c>
    </row>
    <row r="10" spans="1:18" x14ac:dyDescent="0.2">
      <c r="A10">
        <v>17</v>
      </c>
      <c r="B10" t="s">
        <v>359</v>
      </c>
      <c r="C10" t="s">
        <v>362</v>
      </c>
      <c r="D10" t="s">
        <v>360</v>
      </c>
      <c r="E10" t="s">
        <v>384</v>
      </c>
      <c r="F10" t="s">
        <v>413</v>
      </c>
      <c r="G10" t="s">
        <v>414</v>
      </c>
      <c r="H10" t="s">
        <v>415</v>
      </c>
      <c r="I10" t="s">
        <v>63</v>
      </c>
      <c r="J10" t="s">
        <v>62</v>
      </c>
      <c r="K10">
        <v>2</v>
      </c>
      <c r="L10" s="8">
        <v>1.44</v>
      </c>
      <c r="M10" s="8">
        <v>2.11</v>
      </c>
      <c r="N10" s="8">
        <v>4</v>
      </c>
      <c r="O10" s="8">
        <v>6</v>
      </c>
      <c r="P10" t="s">
        <v>434</v>
      </c>
      <c r="Q10" t="s">
        <v>471</v>
      </c>
      <c r="R10" t="str">
        <f t="shared" si="0"/>
        <v>instruction/articulation.png</v>
      </c>
    </row>
    <row r="11" spans="1:18" x14ac:dyDescent="0.2">
      <c r="A11">
        <v>19</v>
      </c>
      <c r="B11" t="s">
        <v>359</v>
      </c>
      <c r="C11" t="s">
        <v>363</v>
      </c>
      <c r="D11" t="s">
        <v>360</v>
      </c>
      <c r="E11" t="s">
        <v>385</v>
      </c>
      <c r="F11" t="s">
        <v>416</v>
      </c>
      <c r="G11" t="s">
        <v>417</v>
      </c>
      <c r="H11" t="s">
        <v>418</v>
      </c>
      <c r="I11" t="s">
        <v>41</v>
      </c>
      <c r="J11" t="s">
        <v>40</v>
      </c>
      <c r="K11">
        <v>2</v>
      </c>
      <c r="L11" s="8">
        <v>1.9239999999999999</v>
      </c>
      <c r="M11" s="8">
        <v>2.339</v>
      </c>
      <c r="N11" s="8">
        <v>2</v>
      </c>
      <c r="O11" s="8">
        <v>5</v>
      </c>
      <c r="P11" t="s">
        <v>435</v>
      </c>
      <c r="Q11" t="s">
        <v>472</v>
      </c>
      <c r="R11" t="str">
        <f t="shared" si="0"/>
        <v>instruction/notask.png</v>
      </c>
    </row>
    <row r="12" spans="1:18" x14ac:dyDescent="0.2">
      <c r="A12">
        <v>21</v>
      </c>
      <c r="B12" t="s">
        <v>366</v>
      </c>
      <c r="C12" t="s">
        <v>363</v>
      </c>
      <c r="D12" t="s">
        <v>364</v>
      </c>
      <c r="E12" t="s">
        <v>386</v>
      </c>
      <c r="F12" t="s">
        <v>419</v>
      </c>
      <c r="G12" t="s">
        <v>420</v>
      </c>
      <c r="H12" t="s">
        <v>421</v>
      </c>
      <c r="I12" t="s">
        <v>48</v>
      </c>
      <c r="J12" t="s">
        <v>45</v>
      </c>
      <c r="K12">
        <v>1</v>
      </c>
      <c r="L12" s="8">
        <v>1.849</v>
      </c>
      <c r="M12" s="8">
        <v>2.1440000000000001</v>
      </c>
      <c r="N12" s="8">
        <v>3</v>
      </c>
      <c r="O12" s="8">
        <v>4</v>
      </c>
      <c r="P12" t="s">
        <v>436</v>
      </c>
      <c r="Q12" t="s">
        <v>473</v>
      </c>
      <c r="R12" t="str">
        <f t="shared" si="0"/>
        <v>instruction/notask.png</v>
      </c>
    </row>
    <row r="13" spans="1:18" x14ac:dyDescent="0.2">
      <c r="A13">
        <v>23</v>
      </c>
      <c r="B13" t="s">
        <v>366</v>
      </c>
      <c r="C13" t="s">
        <v>362</v>
      </c>
      <c r="D13" t="s">
        <v>364</v>
      </c>
      <c r="E13" t="s">
        <v>387</v>
      </c>
      <c r="F13" t="s">
        <v>422</v>
      </c>
      <c r="G13" t="s">
        <v>423</v>
      </c>
      <c r="H13" t="s">
        <v>424</v>
      </c>
      <c r="I13" t="s">
        <v>69</v>
      </c>
      <c r="J13" t="s">
        <v>70</v>
      </c>
      <c r="K13">
        <v>1</v>
      </c>
      <c r="L13" s="8">
        <v>1.7390000000000001</v>
      </c>
      <c r="M13" s="8">
        <v>2.2000000000000002</v>
      </c>
      <c r="N13" s="8">
        <v>4</v>
      </c>
      <c r="O13" s="8">
        <v>3</v>
      </c>
      <c r="P13" t="s">
        <v>437</v>
      </c>
      <c r="Q13" t="s">
        <v>474</v>
      </c>
      <c r="R13" t="str">
        <f t="shared" si="0"/>
        <v>instruction/articulation.png</v>
      </c>
    </row>
    <row r="14" spans="1:18" x14ac:dyDescent="0.2">
      <c r="A14">
        <v>101</v>
      </c>
      <c r="B14" t="s">
        <v>388</v>
      </c>
      <c r="C14" t="s">
        <v>363</v>
      </c>
      <c r="D14" t="s">
        <v>388</v>
      </c>
      <c r="E14" t="s">
        <v>694</v>
      </c>
      <c r="F14" t="s">
        <v>220</v>
      </c>
      <c r="G14" t="s">
        <v>221</v>
      </c>
      <c r="H14" t="s">
        <v>204</v>
      </c>
      <c r="I14" t="s">
        <v>205</v>
      </c>
      <c r="J14" t="s">
        <v>206</v>
      </c>
      <c r="K14">
        <v>1</v>
      </c>
      <c r="L14" s="8">
        <v>1.736</v>
      </c>
      <c r="M14" s="8">
        <v>2.1509999999999998</v>
      </c>
      <c r="N14" s="8">
        <v>2</v>
      </c>
      <c r="O14" s="8">
        <v>6</v>
      </c>
      <c r="P14" t="s">
        <v>439</v>
      </c>
      <c r="Q14" t="s">
        <v>440</v>
      </c>
      <c r="R14" t="str">
        <f t="shared" si="0"/>
        <v>instruction/notask.png</v>
      </c>
    </row>
    <row r="15" spans="1:18" x14ac:dyDescent="0.2">
      <c r="A15">
        <v>102</v>
      </c>
      <c r="B15" t="s">
        <v>388</v>
      </c>
      <c r="C15" t="s">
        <v>362</v>
      </c>
      <c r="D15" t="s">
        <v>388</v>
      </c>
      <c r="E15" t="s">
        <v>695</v>
      </c>
      <c r="F15" t="s">
        <v>175</v>
      </c>
      <c r="G15" t="s">
        <v>180</v>
      </c>
      <c r="H15" t="s">
        <v>207</v>
      </c>
      <c r="I15" t="s">
        <v>208</v>
      </c>
      <c r="J15" t="s">
        <v>209</v>
      </c>
      <c r="K15">
        <v>2</v>
      </c>
      <c r="L15" s="8">
        <v>2.0289999999999999</v>
      </c>
      <c r="M15" s="8">
        <v>1.605</v>
      </c>
      <c r="N15" s="8">
        <v>3</v>
      </c>
      <c r="O15" s="8">
        <v>5</v>
      </c>
      <c r="P15" t="s">
        <v>441</v>
      </c>
      <c r="Q15" t="s">
        <v>442</v>
      </c>
      <c r="R15" t="str">
        <f t="shared" si="0"/>
        <v>instruction/articulation.png</v>
      </c>
    </row>
    <row r="16" spans="1:18" x14ac:dyDescent="0.2">
      <c r="A16">
        <v>103</v>
      </c>
      <c r="B16" t="s">
        <v>388</v>
      </c>
      <c r="C16" t="s">
        <v>363</v>
      </c>
      <c r="D16" t="s">
        <v>388</v>
      </c>
      <c r="E16" t="s">
        <v>696</v>
      </c>
      <c r="F16" t="s">
        <v>200</v>
      </c>
      <c r="G16" t="s">
        <v>201</v>
      </c>
      <c r="H16" t="s">
        <v>202</v>
      </c>
      <c r="I16" t="s">
        <v>152</v>
      </c>
      <c r="J16" t="s">
        <v>203</v>
      </c>
      <c r="K16">
        <v>1</v>
      </c>
      <c r="L16" s="8">
        <v>1.718</v>
      </c>
      <c r="M16" s="8">
        <v>1.4279999999999999</v>
      </c>
      <c r="N16" s="8">
        <v>4</v>
      </c>
      <c r="O16" s="8">
        <v>4</v>
      </c>
      <c r="P16" t="s">
        <v>443</v>
      </c>
      <c r="Q16" t="s">
        <v>444</v>
      </c>
      <c r="R16" t="str">
        <f t="shared" si="0"/>
        <v>instruction/notask.png</v>
      </c>
    </row>
    <row r="17" spans="1:18" x14ac:dyDescent="0.2">
      <c r="A17">
        <v>116</v>
      </c>
      <c r="B17" t="s">
        <v>388</v>
      </c>
      <c r="C17" t="s">
        <v>362</v>
      </c>
      <c r="D17" t="s">
        <v>388</v>
      </c>
      <c r="E17" t="s">
        <v>697</v>
      </c>
      <c r="F17" t="s">
        <v>251</v>
      </c>
      <c r="G17" t="s">
        <v>252</v>
      </c>
      <c r="H17" t="s">
        <v>192</v>
      </c>
      <c r="I17" t="s">
        <v>194</v>
      </c>
      <c r="J17" t="s">
        <v>193</v>
      </c>
      <c r="K17">
        <v>2</v>
      </c>
      <c r="L17" s="8">
        <v>1.736</v>
      </c>
      <c r="M17" s="8">
        <v>2.0489999999999999</v>
      </c>
      <c r="N17" s="8">
        <v>2</v>
      </c>
      <c r="O17" s="8">
        <v>3</v>
      </c>
      <c r="P17" t="s">
        <v>445</v>
      </c>
      <c r="Q17" t="s">
        <v>446</v>
      </c>
      <c r="R17" t="str">
        <f t="shared" si="0"/>
        <v>instruction/articulation.png</v>
      </c>
    </row>
    <row r="18" spans="1:18" x14ac:dyDescent="0.2">
      <c r="A18">
        <v>117</v>
      </c>
      <c r="B18" t="s">
        <v>388</v>
      </c>
      <c r="C18" t="s">
        <v>363</v>
      </c>
      <c r="D18" t="s">
        <v>388</v>
      </c>
      <c r="E18" t="s">
        <v>698</v>
      </c>
      <c r="F18" t="s">
        <v>195</v>
      </c>
      <c r="G18" t="s">
        <v>196</v>
      </c>
      <c r="H18" t="s">
        <v>197</v>
      </c>
      <c r="I18" t="s">
        <v>198</v>
      </c>
      <c r="J18" t="s">
        <v>199</v>
      </c>
      <c r="K18">
        <v>1</v>
      </c>
      <c r="L18" s="8">
        <v>2.258</v>
      </c>
      <c r="M18" s="8">
        <v>1.698</v>
      </c>
      <c r="N18" s="8">
        <v>3</v>
      </c>
      <c r="O18" s="8">
        <v>6</v>
      </c>
      <c r="P18" t="s">
        <v>447</v>
      </c>
      <c r="Q18" t="s">
        <v>448</v>
      </c>
      <c r="R18" t="str">
        <f t="shared" si="0"/>
        <v>instruction/notask.png</v>
      </c>
    </row>
    <row r="19" spans="1:18" x14ac:dyDescent="0.2">
      <c r="A19">
        <v>118</v>
      </c>
      <c r="B19" t="s">
        <v>388</v>
      </c>
      <c r="C19" t="s">
        <v>362</v>
      </c>
      <c r="D19" t="s">
        <v>388</v>
      </c>
      <c r="E19" t="s">
        <v>699</v>
      </c>
      <c r="F19" t="s">
        <v>213</v>
      </c>
      <c r="G19" t="s">
        <v>214</v>
      </c>
      <c r="H19" t="s">
        <v>215</v>
      </c>
      <c r="I19" t="s">
        <v>154</v>
      </c>
      <c r="J19" t="s">
        <v>216</v>
      </c>
      <c r="K19">
        <v>2</v>
      </c>
      <c r="L19" s="8">
        <v>1.53</v>
      </c>
      <c r="M19" s="8">
        <v>1.9330000000000001</v>
      </c>
      <c r="N19" s="8">
        <v>4</v>
      </c>
      <c r="O19" s="8">
        <v>5</v>
      </c>
      <c r="P19" t="s">
        <v>449</v>
      </c>
      <c r="Q19" t="s">
        <v>450</v>
      </c>
      <c r="R19" t="str">
        <f t="shared" si="0"/>
        <v>instruction/articulation.png</v>
      </c>
    </row>
    <row r="20" spans="1:18" x14ac:dyDescent="0.2">
      <c r="A20">
        <v>125</v>
      </c>
      <c r="B20" t="s">
        <v>388</v>
      </c>
      <c r="C20" t="s">
        <v>363</v>
      </c>
      <c r="D20" t="s">
        <v>388</v>
      </c>
      <c r="E20" t="s">
        <v>700</v>
      </c>
      <c r="F20" t="s">
        <v>254</v>
      </c>
      <c r="G20" t="s">
        <v>261</v>
      </c>
      <c r="H20" t="s">
        <v>255</v>
      </c>
      <c r="I20" t="s">
        <v>256</v>
      </c>
      <c r="J20" t="s">
        <v>257</v>
      </c>
      <c r="K20">
        <v>1</v>
      </c>
      <c r="L20" s="8">
        <v>1.863</v>
      </c>
      <c r="M20" s="8">
        <v>2.145</v>
      </c>
      <c r="N20" s="8">
        <v>2</v>
      </c>
      <c r="O20" s="8">
        <v>4</v>
      </c>
      <c r="P20" t="s">
        <v>451</v>
      </c>
      <c r="Q20" t="s">
        <v>452</v>
      </c>
      <c r="R20" t="str">
        <f t="shared" si="0"/>
        <v>instruction/notask.png</v>
      </c>
    </row>
    <row r="21" spans="1:18" x14ac:dyDescent="0.2">
      <c r="A21">
        <v>126</v>
      </c>
      <c r="B21" t="s">
        <v>388</v>
      </c>
      <c r="C21" t="s">
        <v>362</v>
      </c>
      <c r="D21" t="s">
        <v>388</v>
      </c>
      <c r="E21" t="s">
        <v>701</v>
      </c>
      <c r="F21" t="s">
        <v>270</v>
      </c>
      <c r="G21" t="s">
        <v>258</v>
      </c>
      <c r="H21" t="s">
        <v>265</v>
      </c>
      <c r="I21" t="s">
        <v>157</v>
      </c>
      <c r="J21" t="s">
        <v>259</v>
      </c>
      <c r="K21">
        <v>2</v>
      </c>
      <c r="L21" s="8">
        <v>1.91</v>
      </c>
      <c r="M21" s="8">
        <v>2.1739999999999999</v>
      </c>
      <c r="N21" s="8">
        <v>3</v>
      </c>
      <c r="O21" s="8">
        <v>3</v>
      </c>
      <c r="P21" t="s">
        <v>453</v>
      </c>
      <c r="Q21" t="s">
        <v>454</v>
      </c>
      <c r="R21" t="str">
        <f t="shared" si="0"/>
        <v>instruction/articulation.png</v>
      </c>
    </row>
    <row r="22" spans="1:18" x14ac:dyDescent="0.2">
      <c r="A22">
        <v>127</v>
      </c>
      <c r="B22" t="s">
        <v>388</v>
      </c>
      <c r="C22" t="s">
        <v>363</v>
      </c>
      <c r="D22" t="s">
        <v>388</v>
      </c>
      <c r="E22" t="s">
        <v>702</v>
      </c>
      <c r="F22" t="s">
        <v>290</v>
      </c>
      <c r="G22" t="s">
        <v>266</v>
      </c>
      <c r="H22" t="s">
        <v>267</v>
      </c>
      <c r="I22" t="s">
        <v>291</v>
      </c>
      <c r="J22" t="s">
        <v>268</v>
      </c>
      <c r="K22">
        <v>1</v>
      </c>
      <c r="L22" s="8">
        <v>2.1509999999999998</v>
      </c>
      <c r="M22" s="8">
        <v>1.7849999999999999</v>
      </c>
      <c r="N22" s="8">
        <v>4</v>
      </c>
      <c r="O22" s="8">
        <v>6</v>
      </c>
      <c r="P22" t="s">
        <v>455</v>
      </c>
      <c r="Q22" t="s">
        <v>456</v>
      </c>
      <c r="R22" t="str">
        <f t="shared" si="0"/>
        <v>instruction/notask.png</v>
      </c>
    </row>
    <row r="23" spans="1:18" x14ac:dyDescent="0.2">
      <c r="A23">
        <v>140</v>
      </c>
      <c r="B23" t="s">
        <v>388</v>
      </c>
      <c r="C23" t="s">
        <v>362</v>
      </c>
      <c r="D23" t="s">
        <v>388</v>
      </c>
      <c r="E23" t="s">
        <v>703</v>
      </c>
      <c r="F23" t="s">
        <v>326</v>
      </c>
      <c r="G23" t="s">
        <v>327</v>
      </c>
      <c r="H23" t="s">
        <v>330</v>
      </c>
      <c r="I23" t="s">
        <v>328</v>
      </c>
      <c r="J23" t="s">
        <v>325</v>
      </c>
      <c r="K23">
        <v>2</v>
      </c>
      <c r="L23" s="8">
        <v>2.2349999999999999</v>
      </c>
      <c r="M23" s="8">
        <v>1.82</v>
      </c>
      <c r="N23" s="8">
        <v>2</v>
      </c>
      <c r="O23" s="8">
        <v>5</v>
      </c>
      <c r="P23" t="s">
        <v>457</v>
      </c>
      <c r="Q23" t="s">
        <v>458</v>
      </c>
      <c r="R23" t="str">
        <f t="shared" si="0"/>
        <v>instruction/articulation.png</v>
      </c>
    </row>
    <row r="24" spans="1:18" x14ac:dyDescent="0.2">
      <c r="A24">
        <v>141</v>
      </c>
      <c r="B24" t="s">
        <v>388</v>
      </c>
      <c r="C24" t="s">
        <v>363</v>
      </c>
      <c r="D24" t="s">
        <v>388</v>
      </c>
      <c r="E24" t="s">
        <v>704</v>
      </c>
      <c r="F24" t="s">
        <v>332</v>
      </c>
      <c r="G24" t="s">
        <v>340</v>
      </c>
      <c r="H24" t="s">
        <v>343</v>
      </c>
      <c r="I24" t="s">
        <v>333</v>
      </c>
      <c r="J24" t="s">
        <v>334</v>
      </c>
      <c r="K24">
        <v>1</v>
      </c>
      <c r="L24" s="8">
        <v>2.04</v>
      </c>
      <c r="M24" s="8">
        <v>1.9850000000000001</v>
      </c>
      <c r="N24" s="8">
        <v>3</v>
      </c>
      <c r="O24" s="8">
        <v>4</v>
      </c>
      <c r="P24" t="s">
        <v>459</v>
      </c>
      <c r="Q24" t="s">
        <v>460</v>
      </c>
      <c r="R24" t="str">
        <f t="shared" si="0"/>
        <v>instruction/notask.png</v>
      </c>
    </row>
    <row r="25" spans="1:18" x14ac:dyDescent="0.2">
      <c r="A25">
        <v>142</v>
      </c>
      <c r="B25" t="s">
        <v>388</v>
      </c>
      <c r="C25" t="s">
        <v>362</v>
      </c>
      <c r="D25" t="s">
        <v>388</v>
      </c>
      <c r="E25" t="s">
        <v>705</v>
      </c>
      <c r="F25" t="s">
        <v>335</v>
      </c>
      <c r="G25" t="s">
        <v>336</v>
      </c>
      <c r="H25" t="s">
        <v>337</v>
      </c>
      <c r="I25" t="s">
        <v>338</v>
      </c>
      <c r="J25" t="s">
        <v>339</v>
      </c>
      <c r="K25">
        <v>2</v>
      </c>
      <c r="L25" s="8">
        <v>2.1190000000000002</v>
      </c>
      <c r="M25" s="8">
        <v>1.724</v>
      </c>
      <c r="N25" s="8">
        <v>4</v>
      </c>
      <c r="O25" s="8">
        <v>3</v>
      </c>
      <c r="P25" t="s">
        <v>461</v>
      </c>
      <c r="Q25" t="s">
        <v>462</v>
      </c>
      <c r="R25" t="str">
        <f t="shared" si="0"/>
        <v>instruction/articulation.png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Base</vt:lpstr>
      <vt:lpstr>Plausible-N12</vt:lpstr>
      <vt:lpstr>Plausible-N21</vt:lpstr>
      <vt:lpstr>Implausible-N12</vt:lpstr>
      <vt:lpstr>Implausible-N21</vt:lpstr>
      <vt:lpstr>Filler</vt:lpstr>
      <vt:lpstr>Lists</vt:lpstr>
      <vt:lpstr>Practice</vt:lpstr>
      <vt:lpstr>L4S4</vt:lpstr>
      <vt:lpstr>L4S3</vt:lpstr>
      <vt:lpstr>L4S2</vt:lpstr>
      <vt:lpstr>L4S1</vt:lpstr>
      <vt:lpstr>L3S4</vt:lpstr>
      <vt:lpstr>L3S3</vt:lpstr>
      <vt:lpstr>L3S2</vt:lpstr>
      <vt:lpstr>L3S1</vt:lpstr>
      <vt:lpstr>L2S4</vt:lpstr>
      <vt:lpstr>L2S3</vt:lpstr>
      <vt:lpstr>L2S2</vt:lpstr>
      <vt:lpstr>L2S1</vt:lpstr>
      <vt:lpstr>L1S4</vt:lpstr>
      <vt:lpstr>L1S3</vt:lpstr>
      <vt:lpstr>L1S2</vt:lpstr>
      <vt:lpstr>L1S1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江村　玲</dc:creator>
  <cp:lastModifiedBy>Emura, R. (Rei)</cp:lastModifiedBy>
  <cp:lastPrinted>2024-11-13T12:34:58Z</cp:lastPrinted>
  <dcterms:created xsi:type="dcterms:W3CDTF">2024-11-09T08:38:54Z</dcterms:created>
  <dcterms:modified xsi:type="dcterms:W3CDTF">2026-06-12T12:32:00Z</dcterms:modified>
</cp:coreProperties>
</file>